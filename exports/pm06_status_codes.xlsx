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Системные статусы" sheetId="2" state="visible" r:id="rId4"/>
    <sheet name="Пользовательские статусы" sheetId="3" state="visible" r:id="rId5"/>
    <sheet name="Фазы заказа" sheetId="4" state="visible" r:id="rId6"/>
  </sheets>
  <definedNames>
    <definedName function="false" hidden="true" localSheetId="2" name="_xlnm._FilterDatabase" vbProcedure="false">'Пользовательские статусы'!$A$1:$W$68</definedName>
    <definedName function="false" hidden="true" localSheetId="1" name="_xlnm._FilterDatabase" vbProcedure="false">'Системные статусы'!$A$1:$W$39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<sst xmlns="http://schemas.openxmlformats.org/spreadsheetml/2006/main" count="449" uniqueCount="274">
  <si>
    <t xml:space="preserve">Коды статусов заказов ТОРО в выгрузке PM-06</t>
  </si>
  <si>
    <t xml:space="preserve">Источник: 23 выгрузки BW-отчёта PM-M06 (ветка rawdata репозитория TOPO): площадки 1100-1400  годы 2022-2027  422 774 заказов. Колонки «Заказ Системный статус» и «Заказ Пользовательский статус».</t>
  </si>
  <si>
    <t xml:space="preserve">Что нужно сделать</t>
  </si>
  <si>
    <t xml:space="preserve">На листах «Системные статусы» и «Пользовательские статусы» заполните жёлтые колонки:</t>
  </si>
  <si>
    <t xml:space="preserve">  • «Описание» — полный текст статуса из SAP (таблица TJ02T для системных, TJ30T для пользовательских) и что он значит на практике;</t>
  </si>
  <si>
    <t xml:space="preserve">  • «Закрывает заказ? (да/нет)» — считать ли заказ с этим статусом закрытым для потребности в МТР;</t>
  </si>
  <si>
    <t xml:space="preserve">  • «Комментарий» — любые уточнения.</t>
  </si>
  <si>
    <t xml:space="preserve">Остальные колонки рассчитаны по выгрузкам, их менять не нужно.</t>
  </si>
  <si>
    <t xml:space="preserve">Пример заполненной строки (образец формата, в данные не входит):</t>
  </si>
  <si>
    <t xml:space="preserve">Код</t>
  </si>
  <si>
    <t xml:space="preserve">Наша расшифровка</t>
  </si>
  <si>
    <t xml:space="preserve">Описание (заполнить)</t>
  </si>
  <si>
    <t xml:space="preserve">Закрывает заказ? (да/нет)</t>
  </si>
  <si>
    <t xml:space="preserve">Комментарий</t>
  </si>
  <si>
    <t xml:space="preserve">ЗАКР</t>
  </si>
  <si>
    <t xml:space="preserve">Закрыт (коммерческое закрытие)</t>
  </si>
  <si>
    <t xml:space="preserve">CLSD — Закрыт: заказ закрыт коммерчески, затраты рассчитаны, изменения невозможны</t>
  </si>
  <si>
    <t xml:space="preserve">да</t>
  </si>
  <si>
    <t xml:space="preserve">Остаток «план − факт» по заказу потребностью не считать</t>
  </si>
  <si>
    <t xml:space="preserve">Как читать расчётные колонки</t>
  </si>
  <si>
    <t xml:space="preserve">Заказов по годам — сколько заказов с этим кодом в выгрузке каждого года; «Всего» — сумма по годам (формула).</t>
  </si>
  <si>
    <t xml:space="preserve">Доля с фактом — доля заказов, по которым есть фактические затраты МТР, УСО или услуг.</t>
  </si>
  <si>
    <t xml:space="preserve">Доля в фазе — как заказы с этим кодом распределены по фазам. Фаза задаётся одним из кодов ОТКР, ДЕБЛ (ЧДЕБ), ТЗКР, ЗАКР; у каждого заказа он ровно один. «Нет статуса» — позиции 2027 года без заказа SAP.</t>
  </si>
  <si>
    <t xml:space="preserve">Уверенность нашей расшифровки: «подтверждено» — из спецификации отчёта (лист «Алгоритмы выборки» в самой выгрузке); «вероятно» — стандартная расшифровка SAP, по вашей системе не проверена; «гипотеза» — вывод по данным; «неизвестно» — расшифровки нет.</t>
  </si>
  <si>
    <t xml:space="preserve">Примеры — номера заказов (год, площадка, номер) для проверки в SAP (IW33).</t>
  </si>
  <si>
    <t xml:space="preserve">Суммы — план и факт МТР + УСО в миллионах рублей по всем заказам с кодом (коды у заказа пересекаются, поэтому суммы по кодам не складываются).</t>
  </si>
  <si>
    <t xml:space="preserve">Заказов 2022</t>
  </si>
  <si>
    <t xml:space="preserve">Заказов 2023</t>
  </si>
  <si>
    <t xml:space="preserve">Заказов 2024</t>
  </si>
  <si>
    <t xml:space="preserve">Заказов 2025</t>
  </si>
  <si>
    <t xml:space="preserve">Заказов 2026</t>
  </si>
  <si>
    <t xml:space="preserve">Заказов 2027</t>
  </si>
  <si>
    <t xml:space="preserve">Заказов всего</t>
  </si>
  <si>
    <t xml:space="preserve">Доля с фактом</t>
  </si>
  <si>
    <t xml:space="preserve">План, млн ₽</t>
  </si>
  <si>
    <t xml:space="preserve">Факт, млн ₽</t>
  </si>
  <si>
    <t xml:space="preserve">Доля в фазе ОТКР</t>
  </si>
  <si>
    <t xml:space="preserve">Доля в фазе ДЕБЛ</t>
  </si>
  <si>
    <t xml:space="preserve">Доля в фазе ТЗКР</t>
  </si>
  <si>
    <t xml:space="preserve">Доля в фазе ЗАКР</t>
  </si>
  <si>
    <t xml:space="preserve">Доля в фазе нет статуса</t>
  </si>
  <si>
    <t xml:space="preserve">Источник</t>
  </si>
  <si>
    <t xml:space="preserve">Уверенность</t>
  </si>
  <si>
    <t xml:space="preserve">Примеры заказов</t>
  </si>
  <si>
    <t xml:space="preserve">ОБСЗ</t>
  </si>
  <si>
    <t xml:space="preserve">неизвестно</t>
  </si>
  <si>
    <t xml:space="preserve">2022 1100 1100386534; 2023 1100 1500014723; 2024 1100 1100884889</t>
  </si>
  <si>
    <t xml:space="preserve">ПКАЛ</t>
  </si>
  <si>
    <t xml:space="preserve">Предварительно калькулирован</t>
  </si>
  <si>
    <t xml:space="preserve">стандарт SAP (PRC)</t>
  </si>
  <si>
    <t xml:space="preserve">вероятно</t>
  </si>
  <si>
    <t xml:space="preserve">ДМНП</t>
  </si>
  <si>
    <t xml:space="preserve">Доступность материала не проверена</t>
  </si>
  <si>
    <t xml:space="preserve">стандарт SAP (MANC)</t>
  </si>
  <si>
    <t xml:space="preserve">ПРВВ</t>
  </si>
  <si>
    <t xml:space="preserve">Правило расчёта введено</t>
  </si>
  <si>
    <t xml:space="preserve">стандарт SAP (SETC)</t>
  </si>
  <si>
    <t xml:space="preserve">JBFI</t>
  </si>
  <si>
    <t xml:space="preserve">спецификация отчёта</t>
  </si>
  <si>
    <t xml:space="preserve">подтверждено</t>
  </si>
  <si>
    <t xml:space="preserve">ДВМА</t>
  </si>
  <si>
    <t xml:space="preserve">Движение материала проведено</t>
  </si>
  <si>
    <t xml:space="preserve">стандарт SAP (GMPS)</t>
  </si>
  <si>
    <t xml:space="preserve">ПДТВ</t>
  </si>
  <si>
    <t xml:space="preserve">Подтверждён</t>
  </si>
  <si>
    <t xml:space="preserve">стандарт SAP (CNF)</t>
  </si>
  <si>
    <t xml:space="preserve">2022 1100 1100386534; 2023 1100 1100884694; 2024 1100 1101259617</t>
  </si>
  <si>
    <t xml:space="preserve">РБЗК</t>
  </si>
  <si>
    <t xml:space="preserve">2024 1100 1101813707; 2025 1100 1101878222; 2026 1100 1200365166</t>
  </si>
  <si>
    <t xml:space="preserve">АНРЕ</t>
  </si>
  <si>
    <t xml:space="preserve">2024 1100 1101813707; 2025 1100 1101878222; 2026 1100 1102226644</t>
  </si>
  <si>
    <t xml:space="preserve">АРВО</t>
  </si>
  <si>
    <t xml:space="preserve">ПЕЧТ</t>
  </si>
  <si>
    <t xml:space="preserve">Напечатан</t>
  </si>
  <si>
    <t xml:space="preserve">стандарт SAP (PRT)</t>
  </si>
  <si>
    <t xml:space="preserve">2022 1100 1100759462; 2023 1100 1100877483; 2024 1100 1101392569</t>
  </si>
  <si>
    <t xml:space="preserve">KKMP</t>
  </si>
  <si>
    <t xml:space="preserve">2022 1100 1100771390; 2023 1100 1100910354; 2024 1100 1200252523</t>
  </si>
  <si>
    <t xml:space="preserve">ОТКР</t>
  </si>
  <si>
    <t xml:space="preserve">Открыт (создан, не деблокирован)</t>
  </si>
  <si>
    <t xml:space="preserve">спецификация отчёта, лист «Алгоритмы выборки»</t>
  </si>
  <si>
    <t xml:space="preserve">2022 1100 1800010075; 2023 1100 1101471084; 2024 1100 1101879322</t>
  </si>
  <si>
    <t xml:space="preserve">ЧПЕЧ</t>
  </si>
  <si>
    <t xml:space="preserve">Частично напечатан</t>
  </si>
  <si>
    <t xml:space="preserve">стандарт SAP (PPRT)</t>
  </si>
  <si>
    <t xml:space="preserve">2022 1100 1100386576; 2023 1100 1101045267; 2024 1100 1100884889</t>
  </si>
  <si>
    <t xml:space="preserve">ЧПДТ</t>
  </si>
  <si>
    <t xml:space="preserve">Частично подтверждён</t>
  </si>
  <si>
    <t xml:space="preserve">стандарт SAP (PCNF)</t>
  </si>
  <si>
    <t xml:space="preserve">2022 1100 1100317458; 2023 1100 1100877483; 2024 1100 1100884889</t>
  </si>
  <si>
    <t xml:space="preserve">СРНА</t>
  </si>
  <si>
    <t xml:space="preserve">2022 1100 1100386045; 2023 1100 1101340657; 2024 1100 1101392569</t>
  </si>
  <si>
    <t xml:space="preserve">ТЗКР</t>
  </si>
  <si>
    <t xml:space="preserve">Технически закрыт</t>
  </si>
  <si>
    <t xml:space="preserve">2022 1100 1200090088; 2023 1100 1003960; 2024 1100 1101926982</t>
  </si>
  <si>
    <t xml:space="preserve">#</t>
  </si>
  <si>
    <t xml:space="preserve">Нет статуса: позиция графика ППР без заказа SAP</t>
  </si>
  <si>
    <t xml:space="preserve">вывод по данным (только 2027, номера 110000…)</t>
  </si>
  <si>
    <t xml:space="preserve">гипотеза</t>
  </si>
  <si>
    <t xml:space="preserve">2027 1100 110000033568</t>
  </si>
  <si>
    <t xml:space="preserve">ОШОЗ</t>
  </si>
  <si>
    <t xml:space="preserve">2022 1100 1100317017; 2023 1100 1200159659; 2024 1100 1900003788</t>
  </si>
  <si>
    <t xml:space="preserve">ДЕБЛ</t>
  </si>
  <si>
    <t xml:space="preserve">Деблокирован (в работе)</t>
  </si>
  <si>
    <t xml:space="preserve">2022 1100 4000018911; 2023 1100 4000036509; 2024 1100 4000040107</t>
  </si>
  <si>
    <t xml:space="preserve">COCE</t>
  </si>
  <si>
    <t xml:space="preserve">2025 1100 1101948705; 2026 1100 1102683820; 2025 1200 1101767962</t>
  </si>
  <si>
    <t xml:space="preserve">MOBI</t>
  </si>
  <si>
    <t xml:space="preserve">2025 1100 1600682946; 2026 1100 1600871206; 2022 1200 1100356263</t>
  </si>
  <si>
    <t xml:space="preserve">НКС</t>
  </si>
  <si>
    <t xml:space="preserve">КООП</t>
  </si>
  <si>
    <t xml:space="preserve">НОСР</t>
  </si>
  <si>
    <t xml:space="preserve">2022 1100 4000009964; 2023 1300 4000030482; 2022 1400 4000018391</t>
  </si>
  <si>
    <t xml:space="preserve">ДВЖМ</t>
  </si>
  <si>
    <t xml:space="preserve">Движение материала</t>
  </si>
  <si>
    <t xml:space="preserve">стандарт SAP</t>
  </si>
  <si>
    <t xml:space="preserve">2022 1100 1100439271; 2023 1100 1100883152; 2024 1100 1100884889</t>
  </si>
  <si>
    <t xml:space="preserve">ПОСТ</t>
  </si>
  <si>
    <t xml:space="preserve">2022 1100 1001765; 2023 1100 1003960; 2024 1100 1004640</t>
  </si>
  <si>
    <t xml:space="preserve">РОСГ</t>
  </si>
  <si>
    <t xml:space="preserve">НРАК</t>
  </si>
  <si>
    <t xml:space="preserve">ОБВП</t>
  </si>
  <si>
    <t xml:space="preserve">ЧДЕБ</t>
  </si>
  <si>
    <t xml:space="preserve">Частично деблокирован</t>
  </si>
  <si>
    <t xml:space="preserve">стандарт SAP (PREL)</t>
  </si>
  <si>
    <t xml:space="preserve">2022 1100 4000009964; 2025 1100 4000053526; 2026 1100 4000065249</t>
  </si>
  <si>
    <t xml:space="preserve">ДЕБО</t>
  </si>
  <si>
    <t xml:space="preserve">2027 1100 1500038731; 2026 1400 1102333756; 2027 1400 1500030652</t>
  </si>
  <si>
    <t xml:space="preserve">МАПД</t>
  </si>
  <si>
    <t xml:space="preserve">2022 1100 1002218; 2023 1100 1004152</t>
  </si>
  <si>
    <t xml:space="preserve">ЗАОЦ</t>
  </si>
  <si>
    <t xml:space="preserve">2022 1100 1200100075; 2026 1100 910100045331; 2023 1300 910100027096</t>
  </si>
  <si>
    <t xml:space="preserve">ЗТНА</t>
  </si>
  <si>
    <t xml:space="preserve">2022 1100 4000015921; 2024 1100 4000041533; 2022 1400 4000018125</t>
  </si>
  <si>
    <t xml:space="preserve">НПДМ</t>
  </si>
  <si>
    <t xml:space="preserve">2022 1100 2000021301; 2023 1400 2000045981</t>
  </si>
  <si>
    <t xml:space="preserve">НМАТ</t>
  </si>
  <si>
    <t xml:space="preserve">Нет материала</t>
  </si>
  <si>
    <t xml:space="preserve">стандарт SAP (NMAT)</t>
  </si>
  <si>
    <t xml:space="preserve">2022 1100 1002186</t>
  </si>
  <si>
    <t xml:space="preserve">СГГС</t>
  </si>
  <si>
    <t xml:space="preserve">МТРЦ</t>
  </si>
  <si>
    <t xml:space="preserve">ГОД</t>
  </si>
  <si>
    <t xml:space="preserve">Включён в годовой план</t>
  </si>
  <si>
    <t xml:space="preserve">2022 1100 1100386534; 2023 1100 1100884694; 2024 1100 1100884889</t>
  </si>
  <si>
    <t xml:space="preserve">ПРНТ</t>
  </si>
  <si>
    <t xml:space="preserve">2022 1100 1100480386; 2023 1100 1100821797; 2024 1100 1900003446</t>
  </si>
  <si>
    <t xml:space="preserve">ГИП</t>
  </si>
  <si>
    <t xml:space="preserve">ПРСЗ</t>
  </si>
  <si>
    <t xml:space="preserve">ВСБЕ</t>
  </si>
  <si>
    <t xml:space="preserve">СРОЧ</t>
  </si>
  <si>
    <t xml:space="preserve">УТВГ</t>
  </si>
  <si>
    <t xml:space="preserve">Утверждён в годовом плане</t>
  </si>
  <si>
    <t xml:space="preserve">2022 1100 1100316544; 2023 1100 1100884694; 2024 1100 1100884889</t>
  </si>
  <si>
    <t xml:space="preserve">МЕС</t>
  </si>
  <si>
    <t xml:space="preserve">Включён в месячный план</t>
  </si>
  <si>
    <t xml:space="preserve">2022 1100 1100386534; 2023 1100 1100884048; 2024 1100 1100884889</t>
  </si>
  <si>
    <t xml:space="preserve">УТВМ</t>
  </si>
  <si>
    <t xml:space="preserve">Утверждён в месячном плане</t>
  </si>
  <si>
    <t xml:space="preserve">УТВН</t>
  </si>
  <si>
    <t xml:space="preserve">Утверждён в недельном плане</t>
  </si>
  <si>
    <t xml:space="preserve">НЕД</t>
  </si>
  <si>
    <t xml:space="preserve">Включён в недельный план</t>
  </si>
  <si>
    <t xml:space="preserve">2022 1100 1100386534; 2023 1100 1100910354; 2024 1100 1101259617</t>
  </si>
  <si>
    <t xml:space="preserve">ПЗТГ</t>
  </si>
  <si>
    <t xml:space="preserve">ПТОГ</t>
  </si>
  <si>
    <t xml:space="preserve">2023 1100 1100877483; 2024 1100 1100884889; 2025 1100 1101878222</t>
  </si>
  <si>
    <t xml:space="preserve">ПТОМ</t>
  </si>
  <si>
    <t xml:space="preserve">2022 1100 1100319664; 2023 1100 1100877483; 2024 1100 1100884889</t>
  </si>
  <si>
    <t xml:space="preserve">ТКБЕ</t>
  </si>
  <si>
    <t xml:space="preserve">УТВП</t>
  </si>
  <si>
    <t xml:space="preserve">СГЛБ</t>
  </si>
  <si>
    <t xml:space="preserve">2025 1100 1102140603; 2026 1100 1102226644; 2027 1100 1500033040</t>
  </si>
  <si>
    <t xml:space="preserve">ССПЛ</t>
  </si>
  <si>
    <t xml:space="preserve">2022 1100 1500007834; 2023 1100 1500020529; 2024 1100 1500025393</t>
  </si>
  <si>
    <t xml:space="preserve">ФХСМ</t>
  </si>
  <si>
    <t xml:space="preserve">2025 1100 1200345311; 2024 1300 1101673514; 2025 1300 1101674364</t>
  </si>
  <si>
    <t xml:space="preserve">РИПР</t>
  </si>
  <si>
    <t xml:space="preserve">2022 1200 2000038452; 2023 1200 2000046506; 2022 1400 1100592636</t>
  </si>
  <si>
    <t xml:space="preserve">вывод по данным</t>
  </si>
  <si>
    <t xml:space="preserve">2026 1100 2100051692; 2027 1100 110000033568</t>
  </si>
  <si>
    <t xml:space="preserve">РЗПР</t>
  </si>
  <si>
    <t xml:space="preserve">2022 1100 1200109732; 2023 1100 1200152116; 2024 1100 1200260702</t>
  </si>
  <si>
    <t xml:space="preserve">ПЛАН</t>
  </si>
  <si>
    <t xml:space="preserve">2022 1100 1100374749; 2023 1100 1101471084; 2024 1100 1101963158</t>
  </si>
  <si>
    <t xml:space="preserve">ПЛЗК</t>
  </si>
  <si>
    <t xml:space="preserve">2022 1100 1100770856; 2023 1100 1100768199; 2024 1100 1101813707</t>
  </si>
  <si>
    <t xml:space="preserve">КОРБ</t>
  </si>
  <si>
    <t xml:space="preserve">2022 1100 1100770915; 2023 1100 1100804673; 2024 1100 1101447598</t>
  </si>
  <si>
    <t xml:space="preserve">КРМТ</t>
  </si>
  <si>
    <t xml:space="preserve">ПЗТМ</t>
  </si>
  <si>
    <t xml:space="preserve">2022 1100 1100386534; 2023 1100 1101012151; 2024 1100 1101259207</t>
  </si>
  <si>
    <t xml:space="preserve">МТРН</t>
  </si>
  <si>
    <t xml:space="preserve">2022 1100 1100384609; 2023 1100 1101013018; 2024 1100 1101813707</t>
  </si>
  <si>
    <t xml:space="preserve">НВСО</t>
  </si>
  <si>
    <t xml:space="preserve">2022 1100 1100375001; 2023 1100 1900003604; 2024 1100 1100884889</t>
  </si>
  <si>
    <t xml:space="preserve">СГПЛ</t>
  </si>
  <si>
    <t xml:space="preserve">2022 1100 1200128633; 2023 1100 1900003582; 2024 1100 1101267001</t>
  </si>
  <si>
    <t xml:space="preserve">ЗАПЛ</t>
  </si>
  <si>
    <t xml:space="preserve">2022 1100 1600127329; 2025 1100 1600682946; 2026 1100 1600871206</t>
  </si>
  <si>
    <t xml:space="preserve">ТОПЗ</t>
  </si>
  <si>
    <t xml:space="preserve">2026 1100 1101805027; 2027 1100 1102039908; 2026 1300 1102373845</t>
  </si>
  <si>
    <t xml:space="preserve">ПРЭК</t>
  </si>
  <si>
    <t xml:space="preserve">2022 1100 1200085136; 2023 1100 1100798987; 2024 1100 1101195035</t>
  </si>
  <si>
    <t xml:space="preserve">НДСГ</t>
  </si>
  <si>
    <t xml:space="preserve">2022 1100 1100386576; 2023 1100 1200144892; 2024 1100 1101259258</t>
  </si>
  <si>
    <t xml:space="preserve">СОПЗ</t>
  </si>
  <si>
    <t xml:space="preserve">2027 1100 1102536315</t>
  </si>
  <si>
    <t xml:space="preserve">ПОЛН</t>
  </si>
  <si>
    <t xml:space="preserve">ОЦЕН</t>
  </si>
  <si>
    <t xml:space="preserve">ТРКБ</t>
  </si>
  <si>
    <t xml:space="preserve">2024 1100 1101350102; 2026 1100 1200469833; 2027 1400 1800018121</t>
  </si>
  <si>
    <t xml:space="preserve">КОРР</t>
  </si>
  <si>
    <t xml:space="preserve">2022 1100 1100374749; 2023 1100 1100813704; 2024 1100 1500021284</t>
  </si>
  <si>
    <t xml:space="preserve">МПРО</t>
  </si>
  <si>
    <t xml:space="preserve">2025 1100 1101831744; 2026 1100 1102077093; 2022 1200 1100362415</t>
  </si>
  <si>
    <t xml:space="preserve">ОСТ</t>
  </si>
  <si>
    <t xml:space="preserve">2022 1100 1100455986; 2023 1100 1100820844; 2024 1100 1101371043</t>
  </si>
  <si>
    <t xml:space="preserve">МПРП</t>
  </si>
  <si>
    <t xml:space="preserve">2025 1100 1101831744; 2026 1100 1102077093; 2023 1300 1200166682</t>
  </si>
  <si>
    <t xml:space="preserve">УТВР</t>
  </si>
  <si>
    <t xml:space="preserve">2023 1300 4000033438; 2022 1400 4000018641</t>
  </si>
  <si>
    <t xml:space="preserve">ОТКБ</t>
  </si>
  <si>
    <t xml:space="preserve">2022 1100 1100420579; 2023 1100 1100824912; 2024 1100 1101967998</t>
  </si>
  <si>
    <t xml:space="preserve">СИНХ</t>
  </si>
  <si>
    <t xml:space="preserve">2023 1400 1101038173; 2024 1400 1100825565</t>
  </si>
  <si>
    <t xml:space="preserve">МТПЛ</t>
  </si>
  <si>
    <t xml:space="preserve">2022 1100 1001920</t>
  </si>
  <si>
    <t xml:space="preserve">МНБЛ</t>
  </si>
  <si>
    <t xml:space="preserve">ПУСТ</t>
  </si>
  <si>
    <t xml:space="preserve">2023 1100 1100804148; 2024 1100 1101374664; 2025 1100 1101480814</t>
  </si>
  <si>
    <t xml:space="preserve">ТЛИМ</t>
  </si>
  <si>
    <t xml:space="preserve">2025 1100 1900004243; 2026 1100 1102260065; 2025 1400 1101645185</t>
  </si>
  <si>
    <t xml:space="preserve">МАТП</t>
  </si>
  <si>
    <t xml:space="preserve">2024 1200 1101478938</t>
  </si>
  <si>
    <t xml:space="preserve">ИНИЦ</t>
  </si>
  <si>
    <t xml:space="preserve">2022 1100 4000009964</t>
  </si>
  <si>
    <t xml:space="preserve">НПРН</t>
  </si>
  <si>
    <t xml:space="preserve">2024 1100 910100042800; 2022 1200 1100369371; 2023 1200 1200154647</t>
  </si>
  <si>
    <t xml:space="preserve">ДФКТ</t>
  </si>
  <si>
    <t xml:space="preserve">2022 1400 1200104757</t>
  </si>
  <si>
    <t xml:space="preserve">РСЦН</t>
  </si>
  <si>
    <t xml:space="preserve">2023 1300 4000033438; 2022 1400 4000018234</t>
  </si>
  <si>
    <t xml:space="preserve">СПКИ</t>
  </si>
  <si>
    <t xml:space="preserve">2022 1400 4000018477</t>
  </si>
  <si>
    <t xml:space="preserve">ИСПП</t>
  </si>
  <si>
    <t xml:space="preserve">2022 1100 1100375033; 2024 1100 1101932625; 2023 1200 1100775695</t>
  </si>
  <si>
    <t xml:space="preserve">2022 1400 1100592900</t>
  </si>
  <si>
    <t xml:space="preserve">АСКИ</t>
  </si>
  <si>
    <t xml:space="preserve">2023 1300 4000033438</t>
  </si>
  <si>
    <t xml:space="preserve">ИНВС</t>
  </si>
  <si>
    <t xml:space="preserve">МПРА</t>
  </si>
  <si>
    <t xml:space="preserve">2022 1100 1101031340; 2023 1100 1200166084</t>
  </si>
  <si>
    <t xml:space="preserve">МТРП</t>
  </si>
  <si>
    <t xml:space="preserve">2023 1300 1200181126; 2022 1400 1200093705</t>
  </si>
  <si>
    <t xml:space="preserve">ПРОВ</t>
  </si>
  <si>
    <t xml:space="preserve">2022 1100 1100596675</t>
  </si>
  <si>
    <t xml:space="preserve">ОСМЧ</t>
  </si>
  <si>
    <t xml:space="preserve">2022 1100 1100456519</t>
  </si>
  <si>
    <t xml:space="preserve">ВПСС</t>
  </si>
  <si>
    <t xml:space="preserve">2022 1400 1100589992</t>
  </si>
  <si>
    <t xml:space="preserve">МТРЗ</t>
  </si>
  <si>
    <t xml:space="preserve">2026 1400 1102206103</t>
  </si>
  <si>
    <t xml:space="preserve">Число заказов по фазе и году выгрузки</t>
  </si>
  <si>
    <t xml:space="preserve">Фаза: ЗАКР &gt; ТЗКР &gt; ДЕБЛ/ЧДЕБ &gt; ОТКР; заказ закрыт при ТЗКР или ЗАКР.</t>
  </si>
  <si>
    <t xml:space="preserve">Фаза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</si>
  <si>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</si>
  <si>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</si>
  <si>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</si>
  <si>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</si>
  <si>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</si>
  <si>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</si>
  <si>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Всего</t>
  </si>
  <si>
    <t xml:space="preserve">нет статуса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</si>
</sst>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0.0%;\-0.0%;\-"/>
    <numFmt numFmtId="167" formatCode="#,##0.0;\-#,##0.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</row>
    <row r="13" customFormat="false" ht="23.85" hidden="false" customHeight="false" outlineLevel="0" collapsed="false">
      <c r="A13" s="5" t="s">
        <v>14</v>
      </c>
      <c r="B13" s="5" t="s">
        <v>15</v>
      </c>
      <c r="C13" s="6" t="s">
        <v>16</v>
      </c>
      <c r="D13" s="6" t="s">
        <v>17</v>
      </c>
      <c r="E13" s="6" t="s">
        <v>18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19</v>
      </c>
    </row>
    <row r="16" customFormat="false" ht="15" hidden="false" customHeight="false" outlineLevel="0" collapsed="false">
      <c r="A16" s="2" t="s">
        <v>20</v>
      </c>
    </row>
    <row r="17" customFormat="false" ht="15" hidden="false" customHeight="false" outlineLevel="0" collapsed="false">
      <c r="A17" s="2" t="s">
        <v>21</v>
      </c>
    </row>
    <row r="18" customFormat="false" ht="15" hidden="false" customHeight="false" outlineLevel="0" collapsed="false">
      <c r="A18" s="2" t="s">
        <v>22</v>
      </c>
    </row>
    <row r="19" customFormat="false" ht="15" hidden="false" customHeight="false" outlineLevel="0" collapsed="false">
      <c r="A19" s="2" t="s">
        <v>23</v>
      </c>
    </row>
    <row r="20" customFormat="false" ht="15" hidden="false" customHeight="false" outlineLevel="0" collapsed="false">
      <c r="A20" s="2" t="s">
        <v>24</v>
      </c>
    </row>
    <row r="21" customFormat="false" ht="15" hidden="false" customHeight="false" outlineLevel="0" collapsed="false">
      <c r="A2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6" min="12" style="0" width="9"/>
    <col collapsed="false" customWidth="true" hidden="false" outlineLevel="0" max="17" min="17" style="0" width="34"/>
    <col collapsed="false" customWidth="true" hidden="false" outlineLevel="0" max="18" min="18" style="0" width="30"/>
    <col collapsed="false" customWidth="true" hidden="false" outlineLevel="0" max="19" min="19" style="0" width="13"/>
    <col collapsed="false" customWidth="true" hidden="false" outlineLevel="0" max="20" min="20" style="0" width="34"/>
    <col collapsed="false" customWidth="true" hidden="false" outlineLevel="0" max="21" min="21" style="0" width="48"/>
    <col collapsed="false" customWidth="true" hidden="false" outlineLevel="0" max="22" min="22" style="0" width="13"/>
    <col collapsed="false" customWidth="true" hidden="false" outlineLevel="0" max="23" min="23" style="0" width="30"/>
  </cols>
  <sheetData>
    <row r="1" customFormat="false" ht="42" hidden="false" customHeight="true" outlineLevel="0" collapsed="false">
      <c r="A1" s="7" t="s">
        <v>9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10</v>
      </c>
      <c r="R1" s="7" t="s">
        <v>41</v>
      </c>
      <c r="S1" s="7" t="s">
        <v>42</v>
      </c>
      <c r="T1" s="7" t="s">
        <v>43</v>
      </c>
      <c r="U1" s="8" t="s">
        <v>11</v>
      </c>
      <c r="V1" s="8" t="s">
        <v>12</v>
      </c>
      <c r="W1" s="8" t="s">
        <v>13</v>
      </c>
    </row>
    <row r="2" customFormat="false" ht="23.85" hidden="false" customHeight="false" outlineLevel="0" collapsed="false">
      <c r="A2" s="9" t="s">
        <v>44</v>
      </c>
      <c r="B2" s="10" t="n">
        <v>59275</v>
      </c>
      <c r="C2" s="10" t="n">
        <v>63703</v>
      </c>
      <c r="D2" s="10" t="n">
        <v>61127</v>
      </c>
      <c r="E2" s="10" t="n">
        <v>83269</v>
      </c>
      <c r="F2" s="10" t="n">
        <v>94061</v>
      </c>
      <c r="G2" s="10" t="n">
        <v>35084</v>
      </c>
      <c r="H2" s="10" t="n">
        <f aca="false">SUM(B2:G2)</f>
        <v>396519</v>
      </c>
      <c r="I2" s="11" t="n">
        <v>0.7782</v>
      </c>
      <c r="J2" s="12" t="n">
        <v>190254.6</v>
      </c>
      <c r="K2" s="12" t="n">
        <v>110474.1</v>
      </c>
      <c r="L2" s="11" t="n">
        <v>0.1462</v>
      </c>
      <c r="M2" s="11" t="n">
        <v>0.0206</v>
      </c>
      <c r="N2" s="11" t="n">
        <v>0.085</v>
      </c>
      <c r="O2" s="11" t="n">
        <v>0.7482</v>
      </c>
      <c r="P2" s="11" t="n">
        <v>0</v>
      </c>
      <c r="Q2" s="13"/>
      <c r="R2" s="13"/>
      <c r="S2" s="13" t="s">
        <v>45</v>
      </c>
      <c r="T2" s="13" t="s">
        <v>46</v>
      </c>
      <c r="U2" s="14"/>
      <c r="V2" s="14"/>
      <c r="W2" s="14"/>
    </row>
    <row r="3" customFormat="false" ht="23.85" hidden="false" customHeight="false" outlineLevel="0" collapsed="false">
      <c r="A3" s="9" t="s">
        <v>47</v>
      </c>
      <c r="B3" s="10" t="n">
        <v>59274</v>
      </c>
      <c r="C3" s="10" t="n">
        <v>63703</v>
      </c>
      <c r="D3" s="10" t="n">
        <v>61126</v>
      </c>
      <c r="E3" s="10" t="n">
        <v>83267</v>
      </c>
      <c r="F3" s="10" t="n">
        <v>94061</v>
      </c>
      <c r="G3" s="10" t="n">
        <v>35084</v>
      </c>
      <c r="H3" s="10" t="n">
        <f aca="false">SUM(B3:G3)</f>
        <v>396515</v>
      </c>
      <c r="I3" s="11" t="n">
        <v>0.7782</v>
      </c>
      <c r="J3" s="12" t="n">
        <v>190120</v>
      </c>
      <c r="K3" s="12" t="n">
        <v>110338.1</v>
      </c>
      <c r="L3" s="11" t="n">
        <v>0.1462</v>
      </c>
      <c r="M3" s="11" t="n">
        <v>0.0206</v>
      </c>
      <c r="N3" s="11" t="n">
        <v>0.085</v>
      </c>
      <c r="O3" s="11" t="n">
        <v>0.7482</v>
      </c>
      <c r="P3" s="11" t="n">
        <v>0</v>
      </c>
      <c r="Q3" s="13" t="s">
        <v>48</v>
      </c>
      <c r="R3" s="13" t="s">
        <v>49</v>
      </c>
      <c r="S3" s="13" t="s">
        <v>50</v>
      </c>
      <c r="T3" s="13" t="s">
        <v>46</v>
      </c>
      <c r="U3" s="14"/>
      <c r="V3" s="14"/>
      <c r="W3" s="14"/>
    </row>
    <row r="4" customFormat="false" ht="23.85" hidden="false" customHeight="false" outlineLevel="0" collapsed="false">
      <c r="A4" s="9" t="s">
        <v>51</v>
      </c>
      <c r="B4" s="10" t="n">
        <v>58789</v>
      </c>
      <c r="C4" s="10" t="n">
        <v>63587</v>
      </c>
      <c r="D4" s="10" t="n">
        <v>60490</v>
      </c>
      <c r="E4" s="10" t="n">
        <v>82321</v>
      </c>
      <c r="F4" s="10" t="n">
        <v>92835</v>
      </c>
      <c r="G4" s="10" t="n">
        <v>35084</v>
      </c>
      <c r="H4" s="10" t="n">
        <f aca="false">SUM(B4:G4)</f>
        <v>393106</v>
      </c>
      <c r="I4" s="11" t="n">
        <v>0.7774</v>
      </c>
      <c r="J4" s="12" t="n">
        <v>190069.1</v>
      </c>
      <c r="K4" s="12" t="n">
        <v>110236</v>
      </c>
      <c r="L4" s="11" t="n">
        <v>0.1474</v>
      </c>
      <c r="M4" s="11" t="n">
        <v>0.0204</v>
      </c>
      <c r="N4" s="11" t="n">
        <v>0.0846</v>
      </c>
      <c r="O4" s="11" t="n">
        <v>0.7475</v>
      </c>
      <c r="P4" s="11" t="n">
        <v>0</v>
      </c>
      <c r="Q4" s="13" t="s">
        <v>52</v>
      </c>
      <c r="R4" s="13" t="s">
        <v>53</v>
      </c>
      <c r="S4" s="13" t="s">
        <v>50</v>
      </c>
      <c r="T4" s="13" t="s">
        <v>46</v>
      </c>
      <c r="U4" s="14"/>
      <c r="V4" s="14"/>
      <c r="W4" s="14"/>
    </row>
    <row r="5" customFormat="false" ht="23.85" hidden="false" customHeight="false" outlineLevel="0" collapsed="false">
      <c r="A5" s="9" t="s">
        <v>54</v>
      </c>
      <c r="B5" s="10" t="n">
        <v>58775</v>
      </c>
      <c r="C5" s="10" t="n">
        <v>63560</v>
      </c>
      <c r="D5" s="10" t="n">
        <v>61009</v>
      </c>
      <c r="E5" s="10" t="n">
        <v>83108</v>
      </c>
      <c r="F5" s="10" t="n">
        <v>71069</v>
      </c>
      <c r="G5" s="10" t="n">
        <v>177</v>
      </c>
      <c r="H5" s="10" t="n">
        <f aca="false">SUM(B5:G5)</f>
        <v>337698</v>
      </c>
      <c r="I5" s="11" t="n">
        <v>0.9118</v>
      </c>
      <c r="J5" s="12" t="n">
        <v>116095.4</v>
      </c>
      <c r="K5" s="12" t="n">
        <v>100543.1</v>
      </c>
      <c r="L5" s="11" t="n">
        <v>0.0008</v>
      </c>
      <c r="M5" s="11" t="n">
        <v>0.0209</v>
      </c>
      <c r="N5" s="11" t="n">
        <v>0.0998</v>
      </c>
      <c r="O5" s="11" t="n">
        <v>0.8785</v>
      </c>
      <c r="P5" s="11" t="n">
        <v>0</v>
      </c>
      <c r="Q5" s="13" t="s">
        <v>55</v>
      </c>
      <c r="R5" s="13" t="s">
        <v>56</v>
      </c>
      <c r="S5" s="13" t="s">
        <v>50</v>
      </c>
      <c r="T5" s="13" t="s">
        <v>46</v>
      </c>
      <c r="U5" s="14"/>
      <c r="V5" s="14"/>
      <c r="W5" s="14"/>
    </row>
    <row r="6" customFormat="false" ht="23.85" hidden="false" customHeight="false" outlineLevel="0" collapsed="false">
      <c r="A6" s="9" t="s">
        <v>57</v>
      </c>
      <c r="B6" s="10" t="n">
        <v>58340</v>
      </c>
      <c r="C6" s="10" t="n">
        <v>63388</v>
      </c>
      <c r="D6" s="10" t="n">
        <v>60683</v>
      </c>
      <c r="E6" s="10" t="n">
        <v>82908</v>
      </c>
      <c r="F6" s="10" t="n">
        <v>66378</v>
      </c>
      <c r="G6" s="10" t="n">
        <v>0</v>
      </c>
      <c r="H6" s="10" t="n">
        <f aca="false">SUM(B6:G6)</f>
        <v>331697</v>
      </c>
      <c r="I6" s="11" t="n">
        <v>0.9239</v>
      </c>
      <c r="J6" s="12" t="n">
        <v>108464.1</v>
      </c>
      <c r="K6" s="12" t="n">
        <v>99906.7</v>
      </c>
      <c r="L6" s="11" t="n">
        <v>0</v>
      </c>
      <c r="M6" s="11" t="n">
        <v>0.0077</v>
      </c>
      <c r="N6" s="11" t="n">
        <v>0.1005</v>
      </c>
      <c r="O6" s="11" t="n">
        <v>0.8918</v>
      </c>
      <c r="P6" s="11" t="n">
        <v>0</v>
      </c>
      <c r="Q6" s="13"/>
      <c r="R6" s="13"/>
      <c r="S6" s="13" t="s">
        <v>45</v>
      </c>
      <c r="T6" s="13" t="s">
        <v>46</v>
      </c>
      <c r="U6" s="14"/>
      <c r="V6" s="14"/>
      <c r="W6" s="14"/>
    </row>
    <row r="7" customFormat="false" ht="23.85" hidden="false" customHeight="false" outlineLevel="0" collapsed="false">
      <c r="A7" s="9" t="s">
        <v>14</v>
      </c>
      <c r="B7" s="10" t="n">
        <v>58470</v>
      </c>
      <c r="C7" s="10" t="n">
        <v>63503</v>
      </c>
      <c r="D7" s="10" t="n">
        <v>51231</v>
      </c>
      <c r="E7" s="10" t="n">
        <v>83070</v>
      </c>
      <c r="F7" s="10" t="n">
        <v>40392</v>
      </c>
      <c r="G7" s="10" t="n">
        <v>6</v>
      </c>
      <c r="H7" s="10" t="n">
        <f aca="false">SUM(B7:G7)</f>
        <v>296672</v>
      </c>
      <c r="I7" s="11" t="n">
        <v>0.92</v>
      </c>
      <c r="J7" s="12" t="n">
        <v>94791.5</v>
      </c>
      <c r="K7" s="12" t="n">
        <v>86839.4</v>
      </c>
      <c r="L7" s="11" t="n">
        <v>0</v>
      </c>
      <c r="M7" s="11" t="n">
        <v>0</v>
      </c>
      <c r="N7" s="11" t="n">
        <v>0</v>
      </c>
      <c r="O7" s="11" t="n">
        <v>1</v>
      </c>
      <c r="P7" s="11" t="n">
        <v>0</v>
      </c>
      <c r="Q7" s="13" t="s">
        <v>15</v>
      </c>
      <c r="R7" s="13" t="s">
        <v>58</v>
      </c>
      <c r="S7" s="13" t="s">
        <v>59</v>
      </c>
      <c r="T7" s="13" t="s">
        <v>46</v>
      </c>
      <c r="U7" s="14"/>
      <c r="V7" s="14"/>
      <c r="W7" s="14"/>
    </row>
    <row r="8" customFormat="false" ht="23.85" hidden="false" customHeight="false" outlineLevel="0" collapsed="false">
      <c r="A8" s="9" t="s">
        <v>60</v>
      </c>
      <c r="B8" s="10" t="n">
        <v>46266</v>
      </c>
      <c r="C8" s="10" t="n">
        <v>53008</v>
      </c>
      <c r="D8" s="10" t="n">
        <v>47527</v>
      </c>
      <c r="E8" s="10" t="n">
        <v>63909</v>
      </c>
      <c r="F8" s="10" t="n">
        <v>48168</v>
      </c>
      <c r="G8" s="10" t="n">
        <v>0</v>
      </c>
      <c r="H8" s="10" t="n">
        <f aca="false">SUM(B8:G8)</f>
        <v>258878</v>
      </c>
      <c r="I8" s="11" t="n">
        <v>0.993</v>
      </c>
      <c r="J8" s="12" t="n">
        <v>105251.4</v>
      </c>
      <c r="K8" s="12" t="n">
        <v>97268.8</v>
      </c>
      <c r="L8" s="11" t="n">
        <v>0</v>
      </c>
      <c r="M8" s="11" t="n">
        <v>0.0077</v>
      </c>
      <c r="N8" s="11" t="n">
        <v>0.0953</v>
      </c>
      <c r="O8" s="11" t="n">
        <v>0.8971</v>
      </c>
      <c r="P8" s="11" t="n">
        <v>0</v>
      </c>
      <c r="Q8" s="13" t="s">
        <v>61</v>
      </c>
      <c r="R8" s="13" t="s">
        <v>62</v>
      </c>
      <c r="S8" s="13" t="s">
        <v>50</v>
      </c>
      <c r="T8" s="13" t="s">
        <v>46</v>
      </c>
      <c r="U8" s="14"/>
      <c r="V8" s="14"/>
      <c r="W8" s="14"/>
    </row>
    <row r="9" customFormat="false" ht="23.85" hidden="false" customHeight="false" outlineLevel="0" collapsed="false">
      <c r="A9" s="9" t="s">
        <v>63</v>
      </c>
      <c r="B9" s="10" t="n">
        <v>43887</v>
      </c>
      <c r="C9" s="10" t="n">
        <v>41781</v>
      </c>
      <c r="D9" s="10" t="n">
        <v>41769</v>
      </c>
      <c r="E9" s="10" t="n">
        <v>65946</v>
      </c>
      <c r="F9" s="10" t="n">
        <v>54532</v>
      </c>
      <c r="G9" s="10" t="n">
        <v>0</v>
      </c>
      <c r="H9" s="10" t="n">
        <f aca="false">SUM(B9:G9)</f>
        <v>247915</v>
      </c>
      <c r="I9" s="11" t="n">
        <v>0.9352</v>
      </c>
      <c r="J9" s="12" t="n">
        <v>71159.4</v>
      </c>
      <c r="K9" s="12" t="n">
        <v>68097.6</v>
      </c>
      <c r="L9" s="11" t="n">
        <v>0</v>
      </c>
      <c r="M9" s="11" t="n">
        <v>0.0098</v>
      </c>
      <c r="N9" s="11" t="n">
        <v>0.1077</v>
      </c>
      <c r="O9" s="11" t="n">
        <v>0.8825</v>
      </c>
      <c r="P9" s="11" t="n">
        <v>0</v>
      </c>
      <c r="Q9" s="13" t="s">
        <v>64</v>
      </c>
      <c r="R9" s="13" t="s">
        <v>65</v>
      </c>
      <c r="S9" s="13" t="s">
        <v>50</v>
      </c>
      <c r="T9" s="13" t="s">
        <v>66</v>
      </c>
      <c r="U9" s="14"/>
      <c r="V9" s="14"/>
      <c r="W9" s="14"/>
    </row>
    <row r="10" customFormat="false" ht="23.85" hidden="false" customHeight="false" outlineLevel="0" collapsed="false">
      <c r="A10" s="9" t="s">
        <v>67</v>
      </c>
      <c r="B10" s="10" t="n">
        <v>0</v>
      </c>
      <c r="C10" s="10" t="n">
        <v>0</v>
      </c>
      <c r="D10" s="10" t="n">
        <v>28913</v>
      </c>
      <c r="E10" s="10" t="n">
        <v>69469</v>
      </c>
      <c r="F10" s="10" t="n">
        <v>50552</v>
      </c>
      <c r="G10" s="10" t="n">
        <v>0</v>
      </c>
      <c r="H10" s="10" t="n">
        <f aca="false">SUM(B10:G10)</f>
        <v>148934</v>
      </c>
      <c r="I10" s="11" t="n">
        <v>0.9766</v>
      </c>
      <c r="J10" s="12" t="n">
        <v>59531.7</v>
      </c>
      <c r="K10" s="12" t="n">
        <v>57749.1</v>
      </c>
      <c r="L10" s="11" t="n">
        <v>0</v>
      </c>
      <c r="M10" s="11" t="n">
        <v>0</v>
      </c>
      <c r="N10" s="11" t="n">
        <v>0.1606</v>
      </c>
      <c r="O10" s="11" t="n">
        <v>0.8394</v>
      </c>
      <c r="P10" s="11" t="n">
        <v>0</v>
      </c>
      <c r="Q10" s="13"/>
      <c r="R10" s="13"/>
      <c r="S10" s="13" t="s">
        <v>45</v>
      </c>
      <c r="T10" s="13" t="s">
        <v>68</v>
      </c>
      <c r="U10" s="14"/>
      <c r="V10" s="14"/>
      <c r="W10" s="14"/>
    </row>
    <row r="11" customFormat="false" ht="23.85" hidden="false" customHeight="false" outlineLevel="0" collapsed="false">
      <c r="A11" s="9" t="s">
        <v>69</v>
      </c>
      <c r="B11" s="10" t="n">
        <v>0</v>
      </c>
      <c r="C11" s="10" t="n">
        <v>0</v>
      </c>
      <c r="D11" s="10" t="n">
        <v>27285</v>
      </c>
      <c r="E11" s="10" t="n">
        <v>69068</v>
      </c>
      <c r="F11" s="10" t="n">
        <v>51587</v>
      </c>
      <c r="G11" s="10" t="n">
        <v>0</v>
      </c>
      <c r="H11" s="10" t="n">
        <f aca="false">SUM(B11:G11)</f>
        <v>147940</v>
      </c>
      <c r="I11" s="11" t="n">
        <v>0.9818</v>
      </c>
      <c r="J11" s="12" t="n">
        <v>59574.7</v>
      </c>
      <c r="K11" s="12" t="n">
        <v>57724</v>
      </c>
      <c r="L11" s="11" t="n">
        <v>0</v>
      </c>
      <c r="M11" s="11" t="n">
        <v>0.0032</v>
      </c>
      <c r="N11" s="11" t="n">
        <v>0.1621</v>
      </c>
      <c r="O11" s="11" t="n">
        <v>0.8347</v>
      </c>
      <c r="P11" s="11" t="n">
        <v>0</v>
      </c>
      <c r="Q11" s="13"/>
      <c r="R11" s="13"/>
      <c r="S11" s="13" t="s">
        <v>45</v>
      </c>
      <c r="T11" s="13" t="s">
        <v>70</v>
      </c>
      <c r="U11" s="14"/>
      <c r="V11" s="14"/>
      <c r="W11" s="14"/>
    </row>
    <row r="12" customFormat="false" ht="23.85" hidden="false" customHeight="false" outlineLevel="0" collapsed="false">
      <c r="A12" s="9" t="s">
        <v>71</v>
      </c>
      <c r="B12" s="10" t="n">
        <v>0</v>
      </c>
      <c r="C12" s="10" t="n">
        <v>0</v>
      </c>
      <c r="D12" s="10" t="n">
        <v>27285</v>
      </c>
      <c r="E12" s="10" t="n">
        <v>69068</v>
      </c>
      <c r="F12" s="10" t="n">
        <v>51587</v>
      </c>
      <c r="G12" s="10" t="n">
        <v>0</v>
      </c>
      <c r="H12" s="10" t="n">
        <f aca="false">SUM(B12:G12)</f>
        <v>147940</v>
      </c>
      <c r="I12" s="11" t="n">
        <v>0.9818</v>
      </c>
      <c r="J12" s="12" t="n">
        <v>59574.7</v>
      </c>
      <c r="K12" s="12" t="n">
        <v>57724</v>
      </c>
      <c r="L12" s="11" t="n">
        <v>0</v>
      </c>
      <c r="M12" s="11" t="n">
        <v>0.0032</v>
      </c>
      <c r="N12" s="11" t="n">
        <v>0.1621</v>
      </c>
      <c r="O12" s="11" t="n">
        <v>0.8347</v>
      </c>
      <c r="P12" s="11" t="n">
        <v>0</v>
      </c>
      <c r="Q12" s="13"/>
      <c r="R12" s="13"/>
      <c r="S12" s="13" t="s">
        <v>45</v>
      </c>
      <c r="T12" s="13" t="s">
        <v>70</v>
      </c>
      <c r="U12" s="14"/>
      <c r="V12" s="14"/>
      <c r="W12" s="14"/>
    </row>
    <row r="13" customFormat="false" ht="23.85" hidden="false" customHeight="false" outlineLevel="0" collapsed="false">
      <c r="A13" s="9" t="s">
        <v>72</v>
      </c>
      <c r="B13" s="10" t="n">
        <v>14724</v>
      </c>
      <c r="C13" s="10" t="n">
        <v>18742</v>
      </c>
      <c r="D13" s="10" t="n">
        <v>18294</v>
      </c>
      <c r="E13" s="10" t="n">
        <v>25708</v>
      </c>
      <c r="F13" s="10" t="n">
        <v>24070</v>
      </c>
      <c r="G13" s="10" t="n">
        <v>0</v>
      </c>
      <c r="H13" s="10" t="n">
        <f aca="false">SUM(B13:G13)</f>
        <v>101538</v>
      </c>
      <c r="I13" s="11" t="n">
        <v>0.886</v>
      </c>
      <c r="J13" s="12" t="n">
        <v>26208.9</v>
      </c>
      <c r="K13" s="12" t="n">
        <v>23449.4</v>
      </c>
      <c r="L13" s="11" t="n">
        <v>0</v>
      </c>
      <c r="M13" s="11" t="n">
        <v>0.0152</v>
      </c>
      <c r="N13" s="11" t="n">
        <v>0.1117</v>
      </c>
      <c r="O13" s="11" t="n">
        <v>0.8731</v>
      </c>
      <c r="P13" s="11" t="n">
        <v>0</v>
      </c>
      <c r="Q13" s="13" t="s">
        <v>73</v>
      </c>
      <c r="R13" s="13" t="s">
        <v>74</v>
      </c>
      <c r="S13" s="13" t="s">
        <v>50</v>
      </c>
      <c r="T13" s="13" t="s">
        <v>75</v>
      </c>
      <c r="U13" s="14"/>
      <c r="V13" s="14"/>
      <c r="W13" s="14"/>
    </row>
    <row r="14" customFormat="false" ht="23.85" hidden="false" customHeight="false" outlineLevel="0" collapsed="false">
      <c r="A14" s="9" t="s">
        <v>76</v>
      </c>
      <c r="B14" s="10" t="n">
        <v>6213</v>
      </c>
      <c r="C14" s="10" t="n">
        <v>5049</v>
      </c>
      <c r="D14" s="10" t="n">
        <v>7965</v>
      </c>
      <c r="E14" s="10" t="n">
        <v>14646</v>
      </c>
      <c r="F14" s="10" t="n">
        <v>19817</v>
      </c>
      <c r="G14" s="10" t="n">
        <v>6162</v>
      </c>
      <c r="H14" s="10" t="n">
        <f aca="false">SUM(B14:G14)</f>
        <v>59852</v>
      </c>
      <c r="I14" s="11" t="n">
        <v>0.7722</v>
      </c>
      <c r="J14" s="12" t="n">
        <v>2554</v>
      </c>
      <c r="K14" s="12" t="n">
        <v>2917.3</v>
      </c>
      <c r="L14" s="11" t="n">
        <v>0.1671</v>
      </c>
      <c r="M14" s="11" t="n">
        <v>0.0243</v>
      </c>
      <c r="N14" s="11" t="n">
        <v>0.1177</v>
      </c>
      <c r="O14" s="11" t="n">
        <v>0.6908</v>
      </c>
      <c r="P14" s="11" t="n">
        <v>0</v>
      </c>
      <c r="Q14" s="13"/>
      <c r="R14" s="13"/>
      <c r="S14" s="13" t="s">
        <v>45</v>
      </c>
      <c r="T14" s="13" t="s">
        <v>77</v>
      </c>
      <c r="U14" s="14"/>
      <c r="V14" s="14"/>
      <c r="W14" s="14"/>
    </row>
    <row r="15" customFormat="false" ht="23.85" hidden="false" customHeight="false" outlineLevel="0" collapsed="false">
      <c r="A15" s="9" t="s">
        <v>78</v>
      </c>
      <c r="B15" s="10" t="n">
        <v>23</v>
      </c>
      <c r="C15" s="10" t="n">
        <v>27</v>
      </c>
      <c r="D15" s="10" t="n">
        <v>30</v>
      </c>
      <c r="E15" s="10" t="n">
        <v>41</v>
      </c>
      <c r="F15" s="10" t="n">
        <v>22911</v>
      </c>
      <c r="G15" s="10" t="n">
        <v>34925</v>
      </c>
      <c r="H15" s="10" t="n">
        <f aca="false">SUM(B15:G15)</f>
        <v>57957</v>
      </c>
      <c r="I15" s="11" t="n">
        <v>0.0003</v>
      </c>
      <c r="J15" s="12" t="n">
        <v>58710.3</v>
      </c>
      <c r="K15" s="12" t="n">
        <v>66.7</v>
      </c>
      <c r="L15" s="11" t="n">
        <v>1</v>
      </c>
      <c r="M15" s="11" t="n">
        <v>0</v>
      </c>
      <c r="N15" s="11" t="n">
        <v>0</v>
      </c>
      <c r="O15" s="11" t="n">
        <v>0</v>
      </c>
      <c r="P15" s="11" t="n">
        <v>0</v>
      </c>
      <c r="Q15" s="13" t="s">
        <v>79</v>
      </c>
      <c r="R15" s="13" t="s">
        <v>80</v>
      </c>
      <c r="S15" s="13" t="s">
        <v>59</v>
      </c>
      <c r="T15" s="13" t="s">
        <v>81</v>
      </c>
      <c r="U15" s="14"/>
      <c r="V15" s="14"/>
      <c r="W15" s="14"/>
    </row>
    <row r="16" customFormat="false" ht="23.85" hidden="false" customHeight="false" outlineLevel="0" collapsed="false">
      <c r="A16" s="9" t="s">
        <v>82</v>
      </c>
      <c r="B16" s="10" t="n">
        <v>2897</v>
      </c>
      <c r="C16" s="10" t="n">
        <v>9376</v>
      </c>
      <c r="D16" s="10" t="n">
        <v>8580</v>
      </c>
      <c r="E16" s="10" t="n">
        <v>13144</v>
      </c>
      <c r="F16" s="10" t="n">
        <v>11484</v>
      </c>
      <c r="G16" s="10" t="n">
        <v>2</v>
      </c>
      <c r="H16" s="10" t="n">
        <f aca="false">SUM(B16:G16)</f>
        <v>45483</v>
      </c>
      <c r="I16" s="11" t="n">
        <v>0.9657</v>
      </c>
      <c r="J16" s="12" t="n">
        <v>23500.6</v>
      </c>
      <c r="K16" s="12" t="n">
        <v>21736.7</v>
      </c>
      <c r="L16" s="11" t="n">
        <v>0</v>
      </c>
      <c r="M16" s="11" t="n">
        <v>0.0227</v>
      </c>
      <c r="N16" s="11" t="n">
        <v>0.1187</v>
      </c>
      <c r="O16" s="11" t="n">
        <v>0.8586</v>
      </c>
      <c r="P16" s="11" t="n">
        <v>0</v>
      </c>
      <c r="Q16" s="13" t="s">
        <v>83</v>
      </c>
      <c r="R16" s="13" t="s">
        <v>84</v>
      </c>
      <c r="S16" s="13" t="s">
        <v>50</v>
      </c>
      <c r="T16" s="13" t="s">
        <v>85</v>
      </c>
      <c r="U16" s="14"/>
      <c r="V16" s="14"/>
      <c r="W16" s="14"/>
    </row>
    <row r="17" customFormat="false" ht="23.85" hidden="false" customHeight="false" outlineLevel="0" collapsed="false">
      <c r="A17" s="9" t="s">
        <v>86</v>
      </c>
      <c r="B17" s="10" t="n">
        <v>2588</v>
      </c>
      <c r="C17" s="10" t="n">
        <v>9272</v>
      </c>
      <c r="D17" s="10" t="n">
        <v>8927</v>
      </c>
      <c r="E17" s="10" t="n">
        <v>11006</v>
      </c>
      <c r="F17" s="10" t="n">
        <v>8976</v>
      </c>
      <c r="G17" s="10" t="n">
        <v>0</v>
      </c>
      <c r="H17" s="10" t="n">
        <f aca="false">SUM(B17:G17)</f>
        <v>40769</v>
      </c>
      <c r="I17" s="11" t="n">
        <v>0.9272</v>
      </c>
      <c r="J17" s="12" t="n">
        <v>16398.2</v>
      </c>
      <c r="K17" s="12" t="n">
        <v>14950.8</v>
      </c>
      <c r="L17" s="11" t="n">
        <v>0</v>
      </c>
      <c r="M17" s="11" t="n">
        <v>0.0096</v>
      </c>
      <c r="N17" s="11" t="n">
        <v>0.1045</v>
      </c>
      <c r="O17" s="11" t="n">
        <v>0.8859</v>
      </c>
      <c r="P17" s="11" t="n">
        <v>0</v>
      </c>
      <c r="Q17" s="13" t="s">
        <v>87</v>
      </c>
      <c r="R17" s="13" t="s">
        <v>88</v>
      </c>
      <c r="S17" s="13" t="s">
        <v>50</v>
      </c>
      <c r="T17" s="13" t="s">
        <v>89</v>
      </c>
      <c r="U17" s="14"/>
      <c r="V17" s="14"/>
      <c r="W17" s="14"/>
    </row>
    <row r="18" customFormat="false" ht="23.85" hidden="false" customHeight="false" outlineLevel="0" collapsed="false">
      <c r="A18" s="9" t="s">
        <v>90</v>
      </c>
      <c r="B18" s="10" t="n">
        <v>6715</v>
      </c>
      <c r="C18" s="10" t="n">
        <v>9953</v>
      </c>
      <c r="D18" s="10" t="n">
        <v>7909</v>
      </c>
      <c r="E18" s="10" t="n">
        <v>9126</v>
      </c>
      <c r="F18" s="10" t="n">
        <v>6358</v>
      </c>
      <c r="G18" s="10" t="n">
        <v>223</v>
      </c>
      <c r="H18" s="10" t="n">
        <f aca="false">SUM(B18:G18)</f>
        <v>40284</v>
      </c>
      <c r="I18" s="11" t="n">
        <v>0.9149</v>
      </c>
      <c r="J18" s="12" t="n">
        <v>28649.1</v>
      </c>
      <c r="K18" s="12" t="n">
        <v>19527</v>
      </c>
      <c r="L18" s="11" t="n">
        <v>0.0026</v>
      </c>
      <c r="M18" s="11" t="n">
        <v>0.0249</v>
      </c>
      <c r="N18" s="11" t="n">
        <v>0.0832</v>
      </c>
      <c r="O18" s="11" t="n">
        <v>0.8892</v>
      </c>
      <c r="P18" s="11" t="n">
        <v>0</v>
      </c>
      <c r="Q18" s="13"/>
      <c r="R18" s="13"/>
      <c r="S18" s="13" t="s">
        <v>45</v>
      </c>
      <c r="T18" s="13" t="s">
        <v>91</v>
      </c>
      <c r="U18" s="14"/>
      <c r="V18" s="14"/>
      <c r="W18" s="14"/>
    </row>
    <row r="19" customFormat="false" ht="23.85" hidden="false" customHeight="false" outlineLevel="0" collapsed="false">
      <c r="A19" s="9" t="s">
        <v>92</v>
      </c>
      <c r="B19" s="10" t="n">
        <v>307</v>
      </c>
      <c r="C19" s="10" t="n">
        <v>56</v>
      </c>
      <c r="D19" s="10" t="n">
        <v>9749</v>
      </c>
      <c r="E19" s="10" t="n">
        <v>18</v>
      </c>
      <c r="F19" s="10" t="n">
        <v>23590</v>
      </c>
      <c r="G19" s="10" t="n">
        <v>0</v>
      </c>
      <c r="H19" s="10" t="n">
        <f aca="false">SUM(B19:G19)</f>
        <v>33720</v>
      </c>
      <c r="I19" s="11" t="n">
        <v>0.9364</v>
      </c>
      <c r="J19" s="12" t="n">
        <v>13817.8</v>
      </c>
      <c r="K19" s="12" t="n">
        <v>12989.4</v>
      </c>
      <c r="L19" s="11" t="n">
        <v>0</v>
      </c>
      <c r="M19" s="11" t="n">
        <v>0</v>
      </c>
      <c r="N19" s="11" t="n">
        <v>1</v>
      </c>
      <c r="O19" s="11" t="n">
        <v>0</v>
      </c>
      <c r="P19" s="11" t="n">
        <v>0</v>
      </c>
      <c r="Q19" s="13" t="s">
        <v>93</v>
      </c>
      <c r="R19" s="13" t="s">
        <v>58</v>
      </c>
      <c r="S19" s="13" t="s">
        <v>59</v>
      </c>
      <c r="T19" s="13" t="s">
        <v>94</v>
      </c>
      <c r="U19" s="14"/>
      <c r="V19" s="14"/>
      <c r="W19" s="14"/>
    </row>
    <row r="20" customFormat="false" ht="23.85" hidden="false" customHeight="false" outlineLevel="0" collapsed="false">
      <c r="A20" s="9" t="s">
        <v>95</v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26255</v>
      </c>
      <c r="H20" s="10" t="n">
        <f aca="false">SUM(B20:G20)</f>
        <v>26255</v>
      </c>
      <c r="I20" s="11" t="n">
        <v>0</v>
      </c>
      <c r="J20" s="12" t="n">
        <v>5952.3</v>
      </c>
      <c r="K20" s="12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1</v>
      </c>
      <c r="Q20" s="13" t="s">
        <v>96</v>
      </c>
      <c r="R20" s="13" t="s">
        <v>97</v>
      </c>
      <c r="S20" s="13" t="s">
        <v>98</v>
      </c>
      <c r="T20" s="13" t="s">
        <v>99</v>
      </c>
      <c r="U20" s="14"/>
      <c r="V20" s="14"/>
      <c r="W20" s="14"/>
    </row>
    <row r="21" customFormat="false" ht="23.85" hidden="false" customHeight="false" outlineLevel="0" collapsed="false">
      <c r="A21" s="9" t="s">
        <v>100</v>
      </c>
      <c r="B21" s="10" t="n">
        <v>2102</v>
      </c>
      <c r="C21" s="10" t="n">
        <v>1561</v>
      </c>
      <c r="D21" s="10" t="n">
        <v>1470</v>
      </c>
      <c r="E21" s="10" t="n">
        <v>1419</v>
      </c>
      <c r="F21" s="10" t="n">
        <v>680</v>
      </c>
      <c r="G21" s="10" t="n">
        <v>18450</v>
      </c>
      <c r="H21" s="10" t="n">
        <f aca="false">SUM(B21:G21)</f>
        <v>25682</v>
      </c>
      <c r="I21" s="11" t="n">
        <v>0.2239</v>
      </c>
      <c r="J21" s="12" t="n">
        <v>42725.8</v>
      </c>
      <c r="K21" s="12" t="n">
        <v>21767.3</v>
      </c>
      <c r="L21" s="11" t="n">
        <v>0.7203</v>
      </c>
      <c r="M21" s="11" t="n">
        <v>0.0038</v>
      </c>
      <c r="N21" s="11" t="n">
        <v>0.0133</v>
      </c>
      <c r="O21" s="11" t="n">
        <v>0.2626</v>
      </c>
      <c r="P21" s="11" t="n">
        <v>0</v>
      </c>
      <c r="Q21" s="13"/>
      <c r="R21" s="13"/>
      <c r="S21" s="13" t="s">
        <v>45</v>
      </c>
      <c r="T21" s="13" t="s">
        <v>101</v>
      </c>
      <c r="U21" s="14"/>
      <c r="V21" s="14"/>
      <c r="W21" s="14"/>
    </row>
    <row r="22" customFormat="false" ht="23.85" hidden="false" customHeight="false" outlineLevel="0" collapsed="false">
      <c r="A22" s="9" t="s">
        <v>102</v>
      </c>
      <c r="B22" s="10" t="n">
        <v>469</v>
      </c>
      <c r="C22" s="10" t="n">
        <v>57</v>
      </c>
      <c r="D22" s="10" t="n">
        <v>115</v>
      </c>
      <c r="E22" s="10" t="n">
        <v>134</v>
      </c>
      <c r="F22" s="10" t="n">
        <v>7153</v>
      </c>
      <c r="G22" s="10" t="n">
        <v>150</v>
      </c>
      <c r="H22" s="10" t="n">
        <f aca="false">SUM(B22:G22)</f>
        <v>8078</v>
      </c>
      <c r="I22" s="11" t="n">
        <v>0.4981</v>
      </c>
      <c r="J22" s="12" t="n">
        <v>21212.2</v>
      </c>
      <c r="K22" s="12" t="n">
        <v>9371.2</v>
      </c>
      <c r="L22" s="11" t="n">
        <v>0</v>
      </c>
      <c r="M22" s="11" t="n">
        <v>1</v>
      </c>
      <c r="N22" s="11" t="n">
        <v>0</v>
      </c>
      <c r="O22" s="11" t="n">
        <v>0</v>
      </c>
      <c r="P22" s="11" t="n">
        <v>0</v>
      </c>
      <c r="Q22" s="13" t="s">
        <v>103</v>
      </c>
      <c r="R22" s="13" t="s">
        <v>58</v>
      </c>
      <c r="S22" s="13" t="s">
        <v>59</v>
      </c>
      <c r="T22" s="13" t="s">
        <v>104</v>
      </c>
      <c r="U22" s="14"/>
      <c r="V22" s="14"/>
      <c r="W22" s="14"/>
    </row>
    <row r="23" customFormat="false" ht="23.85" hidden="false" customHeight="false" outlineLevel="0" collapsed="false">
      <c r="A23" s="9" t="s">
        <v>105</v>
      </c>
      <c r="B23" s="10" t="n">
        <v>0</v>
      </c>
      <c r="C23" s="10" t="n">
        <v>0</v>
      </c>
      <c r="D23" s="10" t="n">
        <v>0</v>
      </c>
      <c r="E23" s="10" t="n">
        <v>90</v>
      </c>
      <c r="F23" s="10" t="n">
        <v>4699</v>
      </c>
      <c r="G23" s="10" t="n">
        <v>0</v>
      </c>
      <c r="H23" s="10" t="n">
        <f aca="false">SUM(B23:G23)</f>
        <v>4789</v>
      </c>
      <c r="I23" s="11" t="n">
        <v>0.9816</v>
      </c>
      <c r="J23" s="12" t="n">
        <v>1736.1</v>
      </c>
      <c r="K23" s="12" t="n">
        <v>1704.4</v>
      </c>
      <c r="L23" s="11" t="n">
        <v>0</v>
      </c>
      <c r="M23" s="11" t="n">
        <v>0.001</v>
      </c>
      <c r="N23" s="11" t="n">
        <v>0.9547</v>
      </c>
      <c r="O23" s="11" t="n">
        <v>0.0443</v>
      </c>
      <c r="P23" s="11" t="n">
        <v>0</v>
      </c>
      <c r="Q23" s="13"/>
      <c r="R23" s="13"/>
      <c r="S23" s="13" t="s">
        <v>45</v>
      </c>
      <c r="T23" s="13" t="s">
        <v>106</v>
      </c>
      <c r="U23" s="14"/>
      <c r="V23" s="14"/>
      <c r="W23" s="14"/>
    </row>
    <row r="24" customFormat="false" ht="23.85" hidden="false" customHeight="false" outlineLevel="0" collapsed="false">
      <c r="A24" s="9" t="s">
        <v>107</v>
      </c>
      <c r="B24" s="10" t="n">
        <v>556</v>
      </c>
      <c r="C24" s="10" t="n">
        <v>1</v>
      </c>
      <c r="D24" s="10" t="n">
        <v>0</v>
      </c>
      <c r="E24" s="10" t="n">
        <v>1143</v>
      </c>
      <c r="F24" s="10" t="n">
        <v>1717</v>
      </c>
      <c r="G24" s="10" t="n">
        <v>0</v>
      </c>
      <c r="H24" s="10" t="n">
        <f aca="false">SUM(B24:G24)</f>
        <v>3417</v>
      </c>
      <c r="I24" s="11" t="n">
        <v>0.0211</v>
      </c>
      <c r="J24" s="12" t="n">
        <v>17.9</v>
      </c>
      <c r="K24" s="12" t="n">
        <v>17.4</v>
      </c>
      <c r="L24" s="11" t="n">
        <v>0</v>
      </c>
      <c r="M24" s="11" t="n">
        <v>0</v>
      </c>
      <c r="N24" s="11" t="n">
        <v>0.1648</v>
      </c>
      <c r="O24" s="11" t="n">
        <v>0.8352</v>
      </c>
      <c r="P24" s="11" t="n">
        <v>0</v>
      </c>
      <c r="Q24" s="13"/>
      <c r="R24" s="13"/>
      <c r="S24" s="13" t="s">
        <v>45</v>
      </c>
      <c r="T24" s="13" t="s">
        <v>108</v>
      </c>
      <c r="U24" s="14"/>
      <c r="V24" s="14"/>
      <c r="W24" s="14"/>
    </row>
    <row r="25" customFormat="false" ht="23.85" hidden="false" customHeight="false" outlineLevel="0" collapsed="false">
      <c r="A25" s="9" t="s">
        <v>109</v>
      </c>
      <c r="B25" s="10" t="n">
        <v>875</v>
      </c>
      <c r="C25" s="10" t="n">
        <v>1019</v>
      </c>
      <c r="D25" s="10" t="n">
        <v>426</v>
      </c>
      <c r="E25" s="10" t="n">
        <v>75</v>
      </c>
      <c r="F25" s="10" t="n">
        <v>48</v>
      </c>
      <c r="G25" s="10" t="n">
        <v>0</v>
      </c>
      <c r="H25" s="10" t="n">
        <f aca="false">SUM(B25:G25)</f>
        <v>2443</v>
      </c>
      <c r="I25" s="11" t="n">
        <v>0.9194</v>
      </c>
      <c r="J25" s="12" t="n">
        <v>16926.1</v>
      </c>
      <c r="K25" s="12" t="n">
        <v>15360</v>
      </c>
      <c r="L25" s="11" t="n">
        <v>0</v>
      </c>
      <c r="M25" s="11" t="n">
        <v>0.0041</v>
      </c>
      <c r="N25" s="11" t="n">
        <v>0.0246</v>
      </c>
      <c r="O25" s="11" t="n">
        <v>0.9713</v>
      </c>
      <c r="P25" s="11" t="n">
        <v>0</v>
      </c>
      <c r="Q25" s="13"/>
      <c r="R25" s="13"/>
      <c r="S25" s="13" t="s">
        <v>45</v>
      </c>
      <c r="T25" s="13" t="s">
        <v>46</v>
      </c>
      <c r="U25" s="14"/>
      <c r="V25" s="14"/>
      <c r="W25" s="14"/>
    </row>
    <row r="26" customFormat="false" ht="23.85" hidden="false" customHeight="false" outlineLevel="0" collapsed="false">
      <c r="A26" s="9" t="s">
        <v>110</v>
      </c>
      <c r="B26" s="10" t="n">
        <v>499</v>
      </c>
      <c r="C26" s="10" t="n">
        <v>118</v>
      </c>
      <c r="D26" s="10" t="n">
        <v>88</v>
      </c>
      <c r="E26" s="10" t="n">
        <v>120</v>
      </c>
      <c r="F26" s="10" t="n">
        <v>192</v>
      </c>
      <c r="G26" s="10" t="n">
        <v>221</v>
      </c>
      <c r="H26" s="10" t="n">
        <f aca="false">SUM(B26:G26)</f>
        <v>1238</v>
      </c>
      <c r="I26" s="11" t="n">
        <v>0.5299</v>
      </c>
      <c r="J26" s="12" t="n">
        <v>17627.7</v>
      </c>
      <c r="K26" s="12" t="n">
        <v>9930.9</v>
      </c>
      <c r="L26" s="11" t="n">
        <v>0.0969</v>
      </c>
      <c r="M26" s="11" t="n">
        <v>0.8918</v>
      </c>
      <c r="N26" s="11" t="n">
        <v>0.0097</v>
      </c>
      <c r="O26" s="11" t="n">
        <v>0.0016</v>
      </c>
      <c r="P26" s="11" t="n">
        <v>0</v>
      </c>
      <c r="Q26" s="13"/>
      <c r="R26" s="13"/>
      <c r="S26" s="13" t="s">
        <v>45</v>
      </c>
      <c r="T26" s="13" t="s">
        <v>104</v>
      </c>
      <c r="U26" s="14"/>
      <c r="V26" s="14"/>
      <c r="W26" s="14"/>
    </row>
    <row r="27" customFormat="false" ht="23.85" hidden="false" customHeight="false" outlineLevel="0" collapsed="false">
      <c r="A27" s="9" t="s">
        <v>111</v>
      </c>
      <c r="B27" s="10" t="n">
        <v>439</v>
      </c>
      <c r="C27" s="10" t="n">
        <v>64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f aca="false">SUM(B27:G27)</f>
        <v>503</v>
      </c>
      <c r="I27" s="11" t="n">
        <v>0.5944</v>
      </c>
      <c r="J27" s="12" t="n">
        <v>1319</v>
      </c>
      <c r="K27" s="12" t="n">
        <v>1087.3</v>
      </c>
      <c r="L27" s="11" t="n">
        <v>0.0298</v>
      </c>
      <c r="M27" s="11" t="n">
        <v>0.9702</v>
      </c>
      <c r="N27" s="11" t="n">
        <v>0</v>
      </c>
      <c r="O27" s="11" t="n">
        <v>0</v>
      </c>
      <c r="P27" s="11" t="n">
        <v>0</v>
      </c>
      <c r="Q27" s="13"/>
      <c r="R27" s="13"/>
      <c r="S27" s="13" t="s">
        <v>45</v>
      </c>
      <c r="T27" s="13" t="s">
        <v>112</v>
      </c>
      <c r="U27" s="14"/>
      <c r="V27" s="14"/>
      <c r="W27" s="14"/>
    </row>
    <row r="28" customFormat="false" ht="23.85" hidden="false" customHeight="false" outlineLevel="0" collapsed="false">
      <c r="A28" s="9" t="s">
        <v>113</v>
      </c>
      <c r="B28" s="10" t="n">
        <v>48</v>
      </c>
      <c r="C28" s="10" t="n">
        <v>74</v>
      </c>
      <c r="D28" s="10" t="n">
        <v>62</v>
      </c>
      <c r="E28" s="10" t="n">
        <v>86</v>
      </c>
      <c r="F28" s="10" t="n">
        <v>225</v>
      </c>
      <c r="G28" s="10" t="n">
        <v>1</v>
      </c>
      <c r="H28" s="10" t="n">
        <f aca="false">SUM(B28:G28)</f>
        <v>496</v>
      </c>
      <c r="I28" s="11" t="n">
        <v>0.9718</v>
      </c>
      <c r="J28" s="12" t="n">
        <v>1383.7</v>
      </c>
      <c r="K28" s="12" t="n">
        <v>1333.6</v>
      </c>
      <c r="L28" s="11" t="n">
        <v>0.0081</v>
      </c>
      <c r="M28" s="11" t="n">
        <v>0.0181</v>
      </c>
      <c r="N28" s="11" t="n">
        <v>0.1935</v>
      </c>
      <c r="O28" s="11" t="n">
        <v>0.7802</v>
      </c>
      <c r="P28" s="11" t="n">
        <v>0</v>
      </c>
      <c r="Q28" s="13" t="s">
        <v>114</v>
      </c>
      <c r="R28" s="13" t="s">
        <v>115</v>
      </c>
      <c r="S28" s="13" t="s">
        <v>50</v>
      </c>
      <c r="T28" s="13" t="s">
        <v>116</v>
      </c>
      <c r="U28" s="14"/>
      <c r="V28" s="14"/>
      <c r="W28" s="14"/>
    </row>
    <row r="29" customFormat="false" ht="23.85" hidden="false" customHeight="false" outlineLevel="0" collapsed="false">
      <c r="A29" s="9" t="s">
        <v>117</v>
      </c>
      <c r="B29" s="10" t="n">
        <v>298</v>
      </c>
      <c r="C29" s="10" t="n">
        <v>55</v>
      </c>
      <c r="D29" s="10" t="n">
        <v>36</v>
      </c>
      <c r="E29" s="10" t="n">
        <v>0</v>
      </c>
      <c r="F29" s="10" t="n">
        <v>0</v>
      </c>
      <c r="G29" s="10" t="n">
        <v>0</v>
      </c>
      <c r="H29" s="10" t="n">
        <f aca="false">SUM(B29:G29)</f>
        <v>389</v>
      </c>
      <c r="I29" s="11" t="n">
        <v>0.9692</v>
      </c>
      <c r="J29" s="12" t="n">
        <v>38.1</v>
      </c>
      <c r="K29" s="12" t="n">
        <v>32.1</v>
      </c>
      <c r="L29" s="11" t="n">
        <v>0</v>
      </c>
      <c r="M29" s="11" t="n">
        <v>0</v>
      </c>
      <c r="N29" s="11" t="n">
        <v>0.9743</v>
      </c>
      <c r="O29" s="11" t="n">
        <v>0.0257</v>
      </c>
      <c r="P29" s="11" t="n">
        <v>0</v>
      </c>
      <c r="Q29" s="13"/>
      <c r="R29" s="13"/>
      <c r="S29" s="13" t="s">
        <v>45</v>
      </c>
      <c r="T29" s="13" t="s">
        <v>118</v>
      </c>
      <c r="U29" s="14"/>
      <c r="V29" s="14"/>
      <c r="W29" s="14"/>
    </row>
    <row r="30" customFormat="false" ht="23.85" hidden="false" customHeight="false" outlineLevel="0" collapsed="false">
      <c r="A30" s="9" t="s">
        <v>119</v>
      </c>
      <c r="B30" s="10" t="n">
        <v>292</v>
      </c>
      <c r="C30" s="10" t="n">
        <v>53</v>
      </c>
      <c r="D30" s="10" t="n">
        <v>36</v>
      </c>
      <c r="E30" s="10" t="n">
        <v>0</v>
      </c>
      <c r="F30" s="10" t="n">
        <v>0</v>
      </c>
      <c r="G30" s="10" t="n">
        <v>0</v>
      </c>
      <c r="H30" s="10" t="n">
        <f aca="false">SUM(B30:G30)</f>
        <v>381</v>
      </c>
      <c r="I30" s="11" t="n">
        <v>0.9659</v>
      </c>
      <c r="J30" s="12" t="n">
        <v>25.2</v>
      </c>
      <c r="K30" s="12" t="n">
        <v>20.6</v>
      </c>
      <c r="L30" s="11" t="n">
        <v>0</v>
      </c>
      <c r="M30" s="11" t="n">
        <v>0</v>
      </c>
      <c r="N30" s="11" t="n">
        <v>0.9974</v>
      </c>
      <c r="O30" s="11" t="n">
        <v>0.0026</v>
      </c>
      <c r="P30" s="11" t="n">
        <v>0</v>
      </c>
      <c r="Q30" s="13"/>
      <c r="R30" s="13"/>
      <c r="S30" s="13" t="s">
        <v>45</v>
      </c>
      <c r="T30" s="13" t="s">
        <v>118</v>
      </c>
      <c r="U30" s="14"/>
      <c r="V30" s="14"/>
      <c r="W30" s="14"/>
    </row>
    <row r="31" customFormat="false" ht="23.85" hidden="false" customHeight="false" outlineLevel="0" collapsed="false">
      <c r="A31" s="9" t="s">
        <v>120</v>
      </c>
      <c r="B31" s="10" t="n">
        <v>292</v>
      </c>
      <c r="C31" s="10" t="n">
        <v>53</v>
      </c>
      <c r="D31" s="10" t="n">
        <v>36</v>
      </c>
      <c r="E31" s="10" t="n">
        <v>0</v>
      </c>
      <c r="F31" s="10" t="n">
        <v>0</v>
      </c>
      <c r="G31" s="10" t="n">
        <v>0</v>
      </c>
      <c r="H31" s="10" t="n">
        <f aca="false">SUM(B31:G31)</f>
        <v>381</v>
      </c>
      <c r="I31" s="11" t="n">
        <v>0.9659</v>
      </c>
      <c r="J31" s="12" t="n">
        <v>25.2</v>
      </c>
      <c r="K31" s="12" t="n">
        <v>20.6</v>
      </c>
      <c r="L31" s="11" t="n">
        <v>0</v>
      </c>
      <c r="M31" s="11" t="n">
        <v>0</v>
      </c>
      <c r="N31" s="11" t="n">
        <v>0.9974</v>
      </c>
      <c r="O31" s="11" t="n">
        <v>0.0026</v>
      </c>
      <c r="P31" s="11" t="n">
        <v>0</v>
      </c>
      <c r="Q31" s="13"/>
      <c r="R31" s="13"/>
      <c r="S31" s="13" t="s">
        <v>45</v>
      </c>
      <c r="T31" s="13" t="s">
        <v>118</v>
      </c>
      <c r="U31" s="14"/>
      <c r="V31" s="14"/>
      <c r="W31" s="14"/>
    </row>
    <row r="32" customFormat="false" ht="23.85" hidden="false" customHeight="false" outlineLevel="0" collapsed="false">
      <c r="A32" s="9" t="s">
        <v>121</v>
      </c>
      <c r="B32" s="10" t="n">
        <v>292</v>
      </c>
      <c r="C32" s="10" t="n">
        <v>53</v>
      </c>
      <c r="D32" s="10" t="n">
        <v>36</v>
      </c>
      <c r="E32" s="10" t="n">
        <v>0</v>
      </c>
      <c r="F32" s="10" t="n">
        <v>0</v>
      </c>
      <c r="G32" s="10" t="n">
        <v>0</v>
      </c>
      <c r="H32" s="10" t="n">
        <f aca="false">SUM(B32:G32)</f>
        <v>381</v>
      </c>
      <c r="I32" s="11" t="n">
        <v>0.9659</v>
      </c>
      <c r="J32" s="12" t="n">
        <v>25.2</v>
      </c>
      <c r="K32" s="12" t="n">
        <v>20.6</v>
      </c>
      <c r="L32" s="11" t="n">
        <v>0</v>
      </c>
      <c r="M32" s="11" t="n">
        <v>0</v>
      </c>
      <c r="N32" s="11" t="n">
        <v>0.9974</v>
      </c>
      <c r="O32" s="11" t="n">
        <v>0.0026</v>
      </c>
      <c r="P32" s="11" t="n">
        <v>0</v>
      </c>
      <c r="Q32" s="13"/>
      <c r="R32" s="13"/>
      <c r="S32" s="13" t="s">
        <v>45</v>
      </c>
      <c r="T32" s="13" t="s">
        <v>118</v>
      </c>
      <c r="U32" s="14"/>
      <c r="V32" s="14"/>
      <c r="W32" s="14"/>
    </row>
    <row r="33" customFormat="false" ht="23.85" hidden="false" customHeight="false" outlineLevel="0" collapsed="false">
      <c r="A33" s="9" t="s">
        <v>122</v>
      </c>
      <c r="B33" s="10" t="n">
        <v>6</v>
      </c>
      <c r="C33" s="10" t="n">
        <v>60</v>
      </c>
      <c r="D33" s="10" t="n">
        <v>2</v>
      </c>
      <c r="E33" s="10" t="n">
        <v>6</v>
      </c>
      <c r="F33" s="10" t="n">
        <v>15</v>
      </c>
      <c r="G33" s="10" t="n">
        <v>3</v>
      </c>
      <c r="H33" s="10" t="n">
        <f aca="false">SUM(B33:G33)</f>
        <v>92</v>
      </c>
      <c r="I33" s="11" t="n">
        <v>0.4348</v>
      </c>
      <c r="J33" s="12" t="n">
        <v>1722.8</v>
      </c>
      <c r="K33" s="12" t="n">
        <v>1207.4</v>
      </c>
      <c r="L33" s="11" t="n">
        <v>0</v>
      </c>
      <c r="M33" s="11" t="n">
        <v>1</v>
      </c>
      <c r="N33" s="11" t="n">
        <v>0</v>
      </c>
      <c r="O33" s="11" t="n">
        <v>0</v>
      </c>
      <c r="P33" s="11" t="n">
        <v>0</v>
      </c>
      <c r="Q33" s="13" t="s">
        <v>123</v>
      </c>
      <c r="R33" s="13" t="s">
        <v>124</v>
      </c>
      <c r="S33" s="13" t="s">
        <v>50</v>
      </c>
      <c r="T33" s="13" t="s">
        <v>125</v>
      </c>
      <c r="U33" s="14"/>
      <c r="V33" s="14"/>
      <c r="W33" s="14"/>
    </row>
    <row r="34" customFormat="false" ht="23.85" hidden="false" customHeight="false" outlineLevel="0" collapsed="false">
      <c r="A34" s="9" t="s">
        <v>126</v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33</v>
      </c>
      <c r="G34" s="10" t="n">
        <v>15</v>
      </c>
      <c r="H34" s="10" t="n">
        <f aca="false">SUM(B34:G34)</f>
        <v>48</v>
      </c>
      <c r="I34" s="11" t="n">
        <v>0</v>
      </c>
      <c r="J34" s="12" t="n">
        <v>91.9</v>
      </c>
      <c r="K34" s="12" t="n">
        <v>0</v>
      </c>
      <c r="L34" s="11" t="n">
        <v>1</v>
      </c>
      <c r="M34" s="11" t="n">
        <v>0</v>
      </c>
      <c r="N34" s="11" t="n">
        <v>0</v>
      </c>
      <c r="O34" s="11" t="n">
        <v>0</v>
      </c>
      <c r="P34" s="11" t="n">
        <v>0</v>
      </c>
      <c r="Q34" s="13"/>
      <c r="R34" s="13"/>
      <c r="S34" s="13" t="s">
        <v>45</v>
      </c>
      <c r="T34" s="13" t="s">
        <v>127</v>
      </c>
      <c r="U34" s="14"/>
      <c r="V34" s="14"/>
      <c r="W34" s="14"/>
    </row>
    <row r="35" customFormat="false" ht="15" hidden="false" customHeight="false" outlineLevel="0" collapsed="false">
      <c r="A35" s="9" t="s">
        <v>128</v>
      </c>
      <c r="B35" s="10" t="n">
        <v>20</v>
      </c>
      <c r="C35" s="10" t="n">
        <v>3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f aca="false">SUM(B35:G35)</f>
        <v>23</v>
      </c>
      <c r="I35" s="11" t="n">
        <v>0.8696</v>
      </c>
      <c r="J35" s="12" t="n">
        <v>0.5</v>
      </c>
      <c r="K35" s="12" t="n">
        <v>0.4</v>
      </c>
      <c r="L35" s="11" t="n">
        <v>0</v>
      </c>
      <c r="M35" s="11" t="n">
        <v>0</v>
      </c>
      <c r="N35" s="11" t="n">
        <v>1</v>
      </c>
      <c r="O35" s="11" t="n">
        <v>0</v>
      </c>
      <c r="P35" s="11" t="n">
        <v>0</v>
      </c>
      <c r="Q35" s="13"/>
      <c r="R35" s="13"/>
      <c r="S35" s="13" t="s">
        <v>45</v>
      </c>
      <c r="T35" s="13" t="s">
        <v>129</v>
      </c>
      <c r="U35" s="14"/>
      <c r="V35" s="14"/>
      <c r="W35" s="14"/>
    </row>
    <row r="36" customFormat="false" ht="23.85" hidden="false" customHeight="false" outlineLevel="0" collapsed="false">
      <c r="A36" s="9" t="s">
        <v>130</v>
      </c>
      <c r="B36" s="10" t="n">
        <v>7</v>
      </c>
      <c r="C36" s="10" t="n">
        <v>2</v>
      </c>
      <c r="D36" s="10" t="n">
        <v>1</v>
      </c>
      <c r="E36" s="10" t="n">
        <v>0</v>
      </c>
      <c r="F36" s="10" t="n">
        <v>1</v>
      </c>
      <c r="G36" s="10" t="n">
        <v>0</v>
      </c>
      <c r="H36" s="10" t="n">
        <f aca="false">SUM(B36:G36)</f>
        <v>11</v>
      </c>
      <c r="I36" s="11" t="n">
        <v>0.9091</v>
      </c>
      <c r="J36" s="12" t="n">
        <v>1.2</v>
      </c>
      <c r="K36" s="12" t="n">
        <v>1.2</v>
      </c>
      <c r="L36" s="11" t="n">
        <v>0</v>
      </c>
      <c r="M36" s="11" t="n">
        <v>0.0909</v>
      </c>
      <c r="N36" s="11" t="n">
        <v>0.0909</v>
      </c>
      <c r="O36" s="11" t="n">
        <v>0.8182</v>
      </c>
      <c r="P36" s="11" t="n">
        <v>0</v>
      </c>
      <c r="Q36" s="13"/>
      <c r="R36" s="13"/>
      <c r="S36" s="13" t="s">
        <v>45</v>
      </c>
      <c r="T36" s="13" t="s">
        <v>131</v>
      </c>
      <c r="U36" s="14"/>
      <c r="V36" s="14"/>
      <c r="W36" s="14"/>
    </row>
    <row r="37" customFormat="false" ht="23.85" hidden="false" customHeight="false" outlineLevel="0" collapsed="false">
      <c r="A37" s="9" t="s">
        <v>132</v>
      </c>
      <c r="B37" s="10" t="n">
        <v>5</v>
      </c>
      <c r="C37" s="10" t="n">
        <v>0</v>
      </c>
      <c r="D37" s="10" t="n">
        <v>2</v>
      </c>
      <c r="E37" s="10" t="n">
        <v>0</v>
      </c>
      <c r="F37" s="10" t="n">
        <v>0</v>
      </c>
      <c r="G37" s="10" t="n">
        <v>0</v>
      </c>
      <c r="H37" s="10" t="n">
        <f aca="false">SUM(B37:G37)</f>
        <v>7</v>
      </c>
      <c r="I37" s="11" t="n">
        <v>0.7143</v>
      </c>
      <c r="J37" s="12" t="n">
        <v>79.1</v>
      </c>
      <c r="K37" s="12" t="n">
        <v>78.1</v>
      </c>
      <c r="L37" s="11" t="n">
        <v>0</v>
      </c>
      <c r="M37" s="11" t="n">
        <v>0.1429</v>
      </c>
      <c r="N37" s="11" t="n">
        <v>0.7143</v>
      </c>
      <c r="O37" s="11" t="n">
        <v>0.1429</v>
      </c>
      <c r="P37" s="11" t="n">
        <v>0</v>
      </c>
      <c r="Q37" s="13"/>
      <c r="R37" s="13"/>
      <c r="S37" s="13" t="s">
        <v>45</v>
      </c>
      <c r="T37" s="13" t="s">
        <v>133</v>
      </c>
      <c r="U37" s="14"/>
      <c r="V37" s="14"/>
      <c r="W37" s="14"/>
    </row>
    <row r="38" customFormat="false" ht="15" hidden="false" customHeight="false" outlineLevel="0" collapsed="false">
      <c r="A38" s="9" t="s">
        <v>134</v>
      </c>
      <c r="B38" s="10" t="n">
        <v>2</v>
      </c>
      <c r="C38" s="10" t="n">
        <v>1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f aca="false">SUM(B38:G38)</f>
        <v>3</v>
      </c>
      <c r="I38" s="11" t="n">
        <v>0.6667</v>
      </c>
      <c r="J38" s="12" t="n">
        <v>0</v>
      </c>
      <c r="K38" s="12" t="n">
        <v>0.1</v>
      </c>
      <c r="L38" s="11" t="n">
        <v>0</v>
      </c>
      <c r="M38" s="11" t="n">
        <v>0</v>
      </c>
      <c r="N38" s="11" t="n">
        <v>0</v>
      </c>
      <c r="O38" s="11" t="n">
        <v>1</v>
      </c>
      <c r="P38" s="11" t="n">
        <v>0</v>
      </c>
      <c r="Q38" s="13"/>
      <c r="R38" s="13"/>
      <c r="S38" s="13" t="s">
        <v>45</v>
      </c>
      <c r="T38" s="13" t="s">
        <v>135</v>
      </c>
      <c r="U38" s="14"/>
      <c r="V38" s="14"/>
      <c r="W38" s="14"/>
    </row>
    <row r="39" customFormat="false" ht="15" hidden="false" customHeight="false" outlineLevel="0" collapsed="false">
      <c r="A39" s="9" t="s">
        <v>136</v>
      </c>
      <c r="B39" s="10" t="n">
        <v>2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f aca="false">SUM(B39:G39)</f>
        <v>2</v>
      </c>
      <c r="I39" s="11" t="n">
        <v>1</v>
      </c>
      <c r="J39" s="12" t="n">
        <v>0.1</v>
      </c>
      <c r="K39" s="12" t="n">
        <v>0.1</v>
      </c>
      <c r="L39" s="11" t="n">
        <v>0</v>
      </c>
      <c r="M39" s="11" t="n">
        <v>0</v>
      </c>
      <c r="N39" s="11" t="n">
        <v>1</v>
      </c>
      <c r="O39" s="11" t="n">
        <v>0</v>
      </c>
      <c r="P39" s="11" t="n">
        <v>0</v>
      </c>
      <c r="Q39" s="13" t="s">
        <v>137</v>
      </c>
      <c r="R39" s="13" t="s">
        <v>138</v>
      </c>
      <c r="S39" s="13" t="s">
        <v>50</v>
      </c>
      <c r="T39" s="13" t="s">
        <v>139</v>
      </c>
      <c r="U39" s="14"/>
      <c r="V39" s="14"/>
      <c r="W39" s="14"/>
    </row>
  </sheetData>
  <autoFilter ref="A1:W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6" min="12" style="0" width="9"/>
    <col collapsed="false" customWidth="true" hidden="false" outlineLevel="0" max="17" min="17" style="0" width="34"/>
    <col collapsed="false" customWidth="true" hidden="false" outlineLevel="0" max="18" min="18" style="0" width="30"/>
    <col collapsed="false" customWidth="true" hidden="false" outlineLevel="0" max="19" min="19" style="0" width="13"/>
    <col collapsed="false" customWidth="true" hidden="false" outlineLevel="0" max="20" min="20" style="0" width="34"/>
    <col collapsed="false" customWidth="true" hidden="false" outlineLevel="0" max="21" min="21" style="0" width="48"/>
    <col collapsed="false" customWidth="true" hidden="false" outlineLevel="0" max="22" min="22" style="0" width="13"/>
    <col collapsed="false" customWidth="true" hidden="false" outlineLevel="0" max="23" min="23" style="0" width="30"/>
  </cols>
  <sheetData>
    <row r="1" customFormat="false" ht="42" hidden="false" customHeight="true" outlineLevel="0" collapsed="false">
      <c r="A1" s="7" t="s">
        <v>9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7" t="s">
        <v>40</v>
      </c>
      <c r="Q1" s="7" t="s">
        <v>10</v>
      </c>
      <c r="R1" s="7" t="s">
        <v>41</v>
      </c>
      <c r="S1" s="7" t="s">
        <v>42</v>
      </c>
      <c r="T1" s="7" t="s">
        <v>43</v>
      </c>
      <c r="U1" s="8" t="s">
        <v>11</v>
      </c>
      <c r="V1" s="8" t="s">
        <v>12</v>
      </c>
      <c r="W1" s="8" t="s">
        <v>13</v>
      </c>
    </row>
    <row r="2" customFormat="false" ht="23.85" hidden="false" customHeight="false" outlineLevel="0" collapsed="false">
      <c r="A2" s="9" t="s">
        <v>140</v>
      </c>
      <c r="B2" s="10" t="n">
        <v>52170</v>
      </c>
      <c r="C2" s="10" t="n">
        <v>57272</v>
      </c>
      <c r="D2" s="10" t="n">
        <v>51937</v>
      </c>
      <c r="E2" s="10" t="n">
        <v>69887</v>
      </c>
      <c r="F2" s="10" t="n">
        <v>78384</v>
      </c>
      <c r="G2" s="10" t="n">
        <v>18782</v>
      </c>
      <c r="H2" s="10" t="n">
        <f aca="false">SUM(B2:G2)</f>
        <v>328432</v>
      </c>
      <c r="I2" s="11" t="n">
        <v>0.8215</v>
      </c>
      <c r="J2" s="12" t="n">
        <v>140879.1</v>
      </c>
      <c r="K2" s="12" t="n">
        <v>96484.8</v>
      </c>
      <c r="L2" s="11" t="n">
        <v>0.1089</v>
      </c>
      <c r="M2" s="11" t="n">
        <v>0.0186</v>
      </c>
      <c r="N2" s="11" t="n">
        <v>0.089</v>
      </c>
      <c r="O2" s="11" t="n">
        <v>0.7835</v>
      </c>
      <c r="P2" s="11" t="n">
        <v>0</v>
      </c>
      <c r="Q2" s="13"/>
      <c r="R2" s="13"/>
      <c r="S2" s="13" t="s">
        <v>45</v>
      </c>
      <c r="T2" s="13" t="s">
        <v>46</v>
      </c>
      <c r="U2" s="14"/>
      <c r="V2" s="14"/>
      <c r="W2" s="14"/>
    </row>
    <row r="3" customFormat="false" ht="23.85" hidden="false" customHeight="false" outlineLevel="0" collapsed="false">
      <c r="A3" s="9" t="s">
        <v>141</v>
      </c>
      <c r="B3" s="10" t="n">
        <v>51506</v>
      </c>
      <c r="C3" s="10" t="n">
        <v>58002</v>
      </c>
      <c r="D3" s="10" t="n">
        <v>51462</v>
      </c>
      <c r="E3" s="10" t="n">
        <v>65966</v>
      </c>
      <c r="F3" s="10" t="n">
        <v>70650</v>
      </c>
      <c r="G3" s="10" t="n">
        <v>28385</v>
      </c>
      <c r="H3" s="10" t="n">
        <f aca="false">SUM(B3:G3)</f>
        <v>325971</v>
      </c>
      <c r="I3" s="11" t="n">
        <v>0.7764</v>
      </c>
      <c r="J3" s="12" t="n">
        <v>161003.7</v>
      </c>
      <c r="K3" s="12" t="n">
        <v>90304</v>
      </c>
      <c r="L3" s="11" t="n">
        <v>0.1455</v>
      </c>
      <c r="M3" s="11" t="n">
        <v>0.0167</v>
      </c>
      <c r="N3" s="11" t="n">
        <v>0.0782</v>
      </c>
      <c r="O3" s="11" t="n">
        <v>0.7596</v>
      </c>
      <c r="P3" s="11" t="n">
        <v>0</v>
      </c>
      <c r="Q3" s="13"/>
      <c r="R3" s="13"/>
      <c r="S3" s="13" t="s">
        <v>45</v>
      </c>
      <c r="T3" s="13" t="s">
        <v>46</v>
      </c>
      <c r="U3" s="14"/>
      <c r="V3" s="14"/>
      <c r="W3" s="14"/>
    </row>
    <row r="4" customFormat="false" ht="23.85" hidden="false" customHeight="false" outlineLevel="0" collapsed="false">
      <c r="A4" s="9" t="s">
        <v>142</v>
      </c>
      <c r="B4" s="10" t="n">
        <v>26998</v>
      </c>
      <c r="C4" s="10" t="n">
        <v>32064</v>
      </c>
      <c r="D4" s="10" t="n">
        <v>28700</v>
      </c>
      <c r="E4" s="10" t="n">
        <v>33436</v>
      </c>
      <c r="F4" s="10" t="n">
        <v>39270</v>
      </c>
      <c r="G4" s="10" t="n">
        <v>18472</v>
      </c>
      <c r="H4" s="10" t="n">
        <f aca="false">SUM(B4:G4)</f>
        <v>178940</v>
      </c>
      <c r="I4" s="11" t="n">
        <v>0.7305</v>
      </c>
      <c r="J4" s="12" t="n">
        <v>104456.6</v>
      </c>
      <c r="K4" s="12" t="n">
        <v>61598.6</v>
      </c>
      <c r="L4" s="11" t="n">
        <v>0.1769</v>
      </c>
      <c r="M4" s="11" t="n">
        <v>0.0149</v>
      </c>
      <c r="N4" s="11" t="n">
        <v>0.0618</v>
      </c>
      <c r="O4" s="11" t="n">
        <v>0.7465</v>
      </c>
      <c r="P4" s="11" t="n">
        <v>0</v>
      </c>
      <c r="Q4" s="13" t="s">
        <v>143</v>
      </c>
      <c r="R4" s="13" t="s">
        <v>58</v>
      </c>
      <c r="S4" s="13" t="s">
        <v>59</v>
      </c>
      <c r="T4" s="13" t="s">
        <v>144</v>
      </c>
      <c r="U4" s="14"/>
      <c r="V4" s="14"/>
      <c r="W4" s="14"/>
    </row>
    <row r="5" customFormat="false" ht="23.85" hidden="false" customHeight="false" outlineLevel="0" collapsed="false">
      <c r="A5" s="9" t="s">
        <v>145</v>
      </c>
      <c r="B5" s="10" t="n">
        <v>15159</v>
      </c>
      <c r="C5" s="10" t="n">
        <v>15962</v>
      </c>
      <c r="D5" s="10" t="n">
        <v>25763</v>
      </c>
      <c r="E5" s="10" t="n">
        <v>56099</v>
      </c>
      <c r="F5" s="10" t="n">
        <v>49845</v>
      </c>
      <c r="G5" s="10" t="n">
        <v>1</v>
      </c>
      <c r="H5" s="10" t="n">
        <f aca="false">SUM(B5:G5)</f>
        <v>162829</v>
      </c>
      <c r="I5" s="11" t="n">
        <v>0.9555</v>
      </c>
      <c r="J5" s="12" t="n">
        <v>50996.4</v>
      </c>
      <c r="K5" s="12" t="n">
        <v>50101.8</v>
      </c>
      <c r="L5" s="11" t="n">
        <v>0</v>
      </c>
      <c r="M5" s="11" t="n">
        <v>0.0132</v>
      </c>
      <c r="N5" s="11" t="n">
        <v>0.1457</v>
      </c>
      <c r="O5" s="11" t="n">
        <v>0.8411</v>
      </c>
      <c r="P5" s="11" t="n">
        <v>0</v>
      </c>
      <c r="Q5" s="13"/>
      <c r="R5" s="13"/>
      <c r="S5" s="13" t="s">
        <v>45</v>
      </c>
      <c r="T5" s="13" t="s">
        <v>146</v>
      </c>
      <c r="U5" s="14"/>
      <c r="V5" s="14"/>
      <c r="W5" s="14"/>
    </row>
    <row r="6" customFormat="false" ht="23.85" hidden="false" customHeight="false" outlineLevel="0" collapsed="false">
      <c r="A6" s="9" t="s">
        <v>147</v>
      </c>
      <c r="B6" s="10" t="n">
        <v>25540</v>
      </c>
      <c r="C6" s="10" t="n">
        <v>31216</v>
      </c>
      <c r="D6" s="10" t="n">
        <v>28374</v>
      </c>
      <c r="E6" s="10" t="n">
        <v>33231</v>
      </c>
      <c r="F6" s="10" t="n">
        <v>36825</v>
      </c>
      <c r="G6" s="10" t="n">
        <v>1343</v>
      </c>
      <c r="H6" s="10" t="n">
        <f aca="false">SUM(B6:G6)</f>
        <v>156529</v>
      </c>
      <c r="I6" s="11" t="n">
        <v>0.8129</v>
      </c>
      <c r="J6" s="12" t="n">
        <v>80463.6</v>
      </c>
      <c r="K6" s="12" t="n">
        <v>59453.3</v>
      </c>
      <c r="L6" s="11" t="n">
        <v>0.0857</v>
      </c>
      <c r="M6" s="11" t="n">
        <v>0.0158</v>
      </c>
      <c r="N6" s="11" t="n">
        <v>0.0684</v>
      </c>
      <c r="O6" s="11" t="n">
        <v>0.8301</v>
      </c>
      <c r="P6" s="11" t="n">
        <v>0</v>
      </c>
      <c r="Q6" s="13"/>
      <c r="R6" s="13"/>
      <c r="S6" s="13" t="s">
        <v>45</v>
      </c>
      <c r="T6" s="13" t="s">
        <v>144</v>
      </c>
      <c r="U6" s="14"/>
      <c r="V6" s="14"/>
      <c r="W6" s="14"/>
    </row>
    <row r="7" customFormat="false" ht="23.85" hidden="false" customHeight="false" outlineLevel="0" collapsed="false">
      <c r="A7" s="9" t="s">
        <v>148</v>
      </c>
      <c r="B7" s="10" t="n">
        <v>0</v>
      </c>
      <c r="C7" s="10" t="n">
        <v>0</v>
      </c>
      <c r="D7" s="10" t="n">
        <v>28919</v>
      </c>
      <c r="E7" s="10" t="n">
        <v>69469</v>
      </c>
      <c r="F7" s="10" t="n">
        <v>55047</v>
      </c>
      <c r="G7" s="10" t="n">
        <v>0</v>
      </c>
      <c r="H7" s="10" t="n">
        <f aca="false">SUM(B7:G7)</f>
        <v>153435</v>
      </c>
      <c r="I7" s="11" t="n">
        <v>0.9772</v>
      </c>
      <c r="J7" s="12" t="n">
        <v>60775.8</v>
      </c>
      <c r="K7" s="12" t="n">
        <v>58878.1</v>
      </c>
      <c r="L7" s="11" t="n">
        <v>0</v>
      </c>
      <c r="M7" s="11" t="n">
        <v>0</v>
      </c>
      <c r="N7" s="11" t="n">
        <v>0.1852</v>
      </c>
      <c r="O7" s="11" t="n">
        <v>0.8148</v>
      </c>
      <c r="P7" s="11" t="n">
        <v>0</v>
      </c>
      <c r="Q7" s="13"/>
      <c r="R7" s="13"/>
      <c r="S7" s="13" t="s">
        <v>45</v>
      </c>
      <c r="T7" s="13" t="s">
        <v>68</v>
      </c>
      <c r="U7" s="14"/>
      <c r="V7" s="14"/>
      <c r="W7" s="14"/>
    </row>
    <row r="8" customFormat="false" ht="23.85" hidden="false" customHeight="false" outlineLevel="0" collapsed="false">
      <c r="A8" s="9" t="s">
        <v>149</v>
      </c>
      <c r="B8" s="10" t="n">
        <v>0</v>
      </c>
      <c r="C8" s="10" t="n">
        <v>0</v>
      </c>
      <c r="D8" s="10" t="n">
        <v>28913</v>
      </c>
      <c r="E8" s="10" t="n">
        <v>69469</v>
      </c>
      <c r="F8" s="10" t="n">
        <v>50552</v>
      </c>
      <c r="G8" s="10" t="n">
        <v>0</v>
      </c>
      <c r="H8" s="10" t="n">
        <f aca="false">SUM(B8:G8)</f>
        <v>148934</v>
      </c>
      <c r="I8" s="11" t="n">
        <v>0.9766</v>
      </c>
      <c r="J8" s="12" t="n">
        <v>59531.7</v>
      </c>
      <c r="K8" s="12" t="n">
        <v>57749.1</v>
      </c>
      <c r="L8" s="11" t="n">
        <v>0</v>
      </c>
      <c r="M8" s="11" t="n">
        <v>0</v>
      </c>
      <c r="N8" s="11" t="n">
        <v>0.1606</v>
      </c>
      <c r="O8" s="11" t="n">
        <v>0.8394</v>
      </c>
      <c r="P8" s="11" t="n">
        <v>0</v>
      </c>
      <c r="Q8" s="13"/>
      <c r="R8" s="13"/>
      <c r="S8" s="13" t="s">
        <v>45</v>
      </c>
      <c r="T8" s="13" t="s">
        <v>68</v>
      </c>
      <c r="U8" s="14"/>
      <c r="V8" s="14"/>
      <c r="W8" s="14"/>
    </row>
    <row r="9" customFormat="false" ht="23.85" hidden="false" customHeight="false" outlineLevel="0" collapsed="false">
      <c r="A9" s="9" t="s">
        <v>150</v>
      </c>
      <c r="B9" s="10" t="n">
        <v>18655</v>
      </c>
      <c r="C9" s="10" t="n">
        <v>15891</v>
      </c>
      <c r="D9" s="10" t="n">
        <v>21607</v>
      </c>
      <c r="E9" s="10" t="n">
        <v>41720</v>
      </c>
      <c r="F9" s="10" t="n">
        <v>39832</v>
      </c>
      <c r="G9" s="10" t="n">
        <v>3648</v>
      </c>
      <c r="H9" s="10" t="n">
        <f aca="false">SUM(B9:G9)</f>
        <v>141353</v>
      </c>
      <c r="I9" s="11" t="n">
        <v>0.8663</v>
      </c>
      <c r="J9" s="12" t="n">
        <v>99065.5</v>
      </c>
      <c r="K9" s="12" t="n">
        <v>69361.9</v>
      </c>
      <c r="L9" s="11" t="n">
        <v>0.0833</v>
      </c>
      <c r="M9" s="11" t="n">
        <v>0.0207</v>
      </c>
      <c r="N9" s="11" t="n">
        <v>0.106</v>
      </c>
      <c r="O9" s="11" t="n">
        <v>0.7901</v>
      </c>
      <c r="P9" s="11" t="n">
        <v>0</v>
      </c>
      <c r="Q9" s="13"/>
      <c r="R9" s="13"/>
      <c r="S9" s="13" t="s">
        <v>45</v>
      </c>
      <c r="T9" s="13" t="s">
        <v>46</v>
      </c>
      <c r="U9" s="14"/>
      <c r="V9" s="14"/>
      <c r="W9" s="14"/>
    </row>
    <row r="10" customFormat="false" ht="23.85" hidden="false" customHeight="false" outlineLevel="0" collapsed="false">
      <c r="A10" s="9" t="s">
        <v>151</v>
      </c>
      <c r="B10" s="10" t="n">
        <v>15149</v>
      </c>
      <c r="C10" s="10" t="n">
        <v>30868</v>
      </c>
      <c r="D10" s="10" t="n">
        <v>20034</v>
      </c>
      <c r="E10" s="10" t="n">
        <v>32044</v>
      </c>
      <c r="F10" s="10" t="n">
        <v>38870</v>
      </c>
      <c r="G10" s="10" t="n">
        <v>475</v>
      </c>
      <c r="H10" s="10" t="n">
        <f aca="false">SUM(B10:G10)</f>
        <v>137440</v>
      </c>
      <c r="I10" s="11" t="n">
        <v>0.8145</v>
      </c>
      <c r="J10" s="12" t="n">
        <v>73143.9</v>
      </c>
      <c r="K10" s="12" t="n">
        <v>53982.7</v>
      </c>
      <c r="L10" s="11" t="n">
        <v>0.0979</v>
      </c>
      <c r="M10" s="11" t="n">
        <v>0.0174</v>
      </c>
      <c r="N10" s="11" t="n">
        <v>0.0702</v>
      </c>
      <c r="O10" s="11" t="n">
        <v>0.8144</v>
      </c>
      <c r="P10" s="11" t="n">
        <v>0</v>
      </c>
      <c r="Q10" s="13" t="s">
        <v>152</v>
      </c>
      <c r="R10" s="13" t="s">
        <v>58</v>
      </c>
      <c r="S10" s="13" t="s">
        <v>59</v>
      </c>
      <c r="T10" s="13" t="s">
        <v>153</v>
      </c>
      <c r="U10" s="14"/>
      <c r="V10" s="14"/>
      <c r="W10" s="14"/>
    </row>
    <row r="11" customFormat="false" ht="23.85" hidden="false" customHeight="false" outlineLevel="0" collapsed="false">
      <c r="A11" s="9" t="s">
        <v>154</v>
      </c>
      <c r="B11" s="10" t="n">
        <v>21688</v>
      </c>
      <c r="C11" s="10" t="n">
        <v>27142</v>
      </c>
      <c r="D11" s="10" t="n">
        <v>24692</v>
      </c>
      <c r="E11" s="10" t="n">
        <v>28076</v>
      </c>
      <c r="F11" s="10" t="n">
        <v>31472</v>
      </c>
      <c r="G11" s="10" t="n">
        <v>97</v>
      </c>
      <c r="H11" s="10" t="n">
        <f aca="false">SUM(B11:G11)</f>
        <v>133167</v>
      </c>
      <c r="I11" s="11" t="n">
        <v>0.8442</v>
      </c>
      <c r="J11" s="12" t="n">
        <v>55974.6</v>
      </c>
      <c r="K11" s="12" t="n">
        <v>45361.3</v>
      </c>
      <c r="L11" s="11" t="n">
        <v>0.0617</v>
      </c>
      <c r="M11" s="11" t="n">
        <v>0.0185</v>
      </c>
      <c r="N11" s="11" t="n">
        <v>0.085</v>
      </c>
      <c r="O11" s="11" t="n">
        <v>0.8348</v>
      </c>
      <c r="P11" s="11" t="n">
        <v>0</v>
      </c>
      <c r="Q11" s="13" t="s">
        <v>155</v>
      </c>
      <c r="R11" s="13" t="s">
        <v>58</v>
      </c>
      <c r="S11" s="13" t="s">
        <v>59</v>
      </c>
      <c r="T11" s="13" t="s">
        <v>156</v>
      </c>
      <c r="U11" s="14"/>
      <c r="V11" s="14"/>
      <c r="W11" s="14"/>
    </row>
    <row r="12" customFormat="false" ht="23.85" hidden="false" customHeight="false" outlineLevel="0" collapsed="false">
      <c r="A12" s="9" t="s">
        <v>157</v>
      </c>
      <c r="B12" s="10" t="n">
        <v>20618</v>
      </c>
      <c r="C12" s="10" t="n">
        <v>24932</v>
      </c>
      <c r="D12" s="10" t="n">
        <v>22684</v>
      </c>
      <c r="E12" s="10" t="n">
        <v>27669</v>
      </c>
      <c r="F12" s="10" t="n">
        <v>25904</v>
      </c>
      <c r="G12" s="10" t="n">
        <v>0</v>
      </c>
      <c r="H12" s="10" t="n">
        <f aca="false">SUM(B12:G12)</f>
        <v>121807</v>
      </c>
      <c r="I12" s="11" t="n">
        <v>0.8781</v>
      </c>
      <c r="J12" s="12" t="n">
        <v>47880.1</v>
      </c>
      <c r="K12" s="12" t="n">
        <v>40408.6</v>
      </c>
      <c r="L12" s="11" t="n">
        <v>0.0253</v>
      </c>
      <c r="M12" s="11" t="n">
        <v>0.0187</v>
      </c>
      <c r="N12" s="11" t="n">
        <v>0.0903</v>
      </c>
      <c r="O12" s="11" t="n">
        <v>0.8656</v>
      </c>
      <c r="P12" s="11" t="n">
        <v>0</v>
      </c>
      <c r="Q12" s="13" t="s">
        <v>158</v>
      </c>
      <c r="R12" s="13" t="s">
        <v>58</v>
      </c>
      <c r="S12" s="13" t="s">
        <v>59</v>
      </c>
      <c r="T12" s="13" t="s">
        <v>156</v>
      </c>
      <c r="U12" s="14"/>
      <c r="V12" s="14"/>
      <c r="W12" s="14"/>
    </row>
    <row r="13" customFormat="false" ht="23.85" hidden="false" customHeight="false" outlineLevel="0" collapsed="false">
      <c r="A13" s="9" t="s">
        <v>159</v>
      </c>
      <c r="B13" s="10" t="n">
        <v>23580</v>
      </c>
      <c r="C13" s="10" t="n">
        <v>25827</v>
      </c>
      <c r="D13" s="10" t="n">
        <v>24203</v>
      </c>
      <c r="E13" s="10" t="n">
        <v>28109</v>
      </c>
      <c r="F13" s="10" t="n">
        <v>19822</v>
      </c>
      <c r="G13" s="10" t="n">
        <v>0</v>
      </c>
      <c r="H13" s="10" t="n">
        <f aca="false">SUM(B13:G13)</f>
        <v>121541</v>
      </c>
      <c r="I13" s="11" t="n">
        <v>0.8897</v>
      </c>
      <c r="J13" s="12" t="n">
        <v>49201.9</v>
      </c>
      <c r="K13" s="12" t="n">
        <v>43299.3</v>
      </c>
      <c r="L13" s="11" t="n">
        <v>0.0041</v>
      </c>
      <c r="M13" s="11" t="n">
        <v>0.0142</v>
      </c>
      <c r="N13" s="11" t="n">
        <v>0.0854</v>
      </c>
      <c r="O13" s="11" t="n">
        <v>0.8963</v>
      </c>
      <c r="P13" s="11" t="n">
        <v>0</v>
      </c>
      <c r="Q13" s="13" t="s">
        <v>160</v>
      </c>
      <c r="R13" s="13" t="s">
        <v>58</v>
      </c>
      <c r="S13" s="13" t="s">
        <v>59</v>
      </c>
      <c r="T13" s="13" t="s">
        <v>144</v>
      </c>
      <c r="U13" s="14"/>
      <c r="V13" s="14"/>
      <c r="W13" s="14"/>
    </row>
    <row r="14" customFormat="false" ht="23.85" hidden="false" customHeight="false" outlineLevel="0" collapsed="false">
      <c r="A14" s="9" t="s">
        <v>161</v>
      </c>
      <c r="B14" s="10" t="n">
        <v>18365</v>
      </c>
      <c r="C14" s="10" t="n">
        <v>23769</v>
      </c>
      <c r="D14" s="10" t="n">
        <v>22903</v>
      </c>
      <c r="E14" s="10" t="n">
        <v>28187</v>
      </c>
      <c r="F14" s="10" t="n">
        <v>24889</v>
      </c>
      <c r="G14" s="10" t="n">
        <v>0</v>
      </c>
      <c r="H14" s="10" t="n">
        <f aca="false">SUM(B14:G14)</f>
        <v>118113</v>
      </c>
      <c r="I14" s="11" t="n">
        <v>0.9017</v>
      </c>
      <c r="J14" s="12" t="n">
        <v>49980.2</v>
      </c>
      <c r="K14" s="12" t="n">
        <v>43681.1</v>
      </c>
      <c r="L14" s="11" t="n">
        <v>0.0067</v>
      </c>
      <c r="M14" s="11" t="n">
        <v>0.0207</v>
      </c>
      <c r="N14" s="11" t="n">
        <v>0.0992</v>
      </c>
      <c r="O14" s="11" t="n">
        <v>0.8734</v>
      </c>
      <c r="P14" s="11" t="n">
        <v>0</v>
      </c>
      <c r="Q14" s="13" t="s">
        <v>162</v>
      </c>
      <c r="R14" s="13" t="s">
        <v>58</v>
      </c>
      <c r="S14" s="13" t="s">
        <v>59</v>
      </c>
      <c r="T14" s="13" t="s">
        <v>163</v>
      </c>
      <c r="U14" s="14"/>
      <c r="V14" s="14"/>
      <c r="W14" s="14"/>
    </row>
    <row r="15" customFormat="false" ht="23.85" hidden="false" customHeight="false" outlineLevel="0" collapsed="false">
      <c r="A15" s="9" t="s">
        <v>164</v>
      </c>
      <c r="B15" s="10" t="n">
        <v>19235</v>
      </c>
      <c r="C15" s="10" t="n">
        <v>20430</v>
      </c>
      <c r="D15" s="10" t="n">
        <v>16531</v>
      </c>
      <c r="E15" s="10" t="n">
        <v>16021</v>
      </c>
      <c r="F15" s="10" t="n">
        <v>30569</v>
      </c>
      <c r="G15" s="10" t="n">
        <v>147</v>
      </c>
      <c r="H15" s="10" t="n">
        <f aca="false">SUM(B15:G15)</f>
        <v>102933</v>
      </c>
      <c r="I15" s="11" t="n">
        <v>0.7642</v>
      </c>
      <c r="J15" s="12" t="n">
        <v>51544.7</v>
      </c>
      <c r="K15" s="12" t="n">
        <v>37361.1</v>
      </c>
      <c r="L15" s="11" t="n">
        <v>0.1493</v>
      </c>
      <c r="M15" s="11" t="n">
        <v>0.0284</v>
      </c>
      <c r="N15" s="11" t="n">
        <v>0.0992</v>
      </c>
      <c r="O15" s="11" t="n">
        <v>0.7231</v>
      </c>
      <c r="P15" s="11" t="n">
        <v>0</v>
      </c>
      <c r="Q15" s="13"/>
      <c r="R15" s="13"/>
      <c r="S15" s="13" t="s">
        <v>45</v>
      </c>
      <c r="T15" s="13" t="s">
        <v>156</v>
      </c>
      <c r="U15" s="14"/>
      <c r="V15" s="14"/>
      <c r="W15" s="14"/>
    </row>
    <row r="16" customFormat="false" ht="23.85" hidden="false" customHeight="false" outlineLevel="0" collapsed="false">
      <c r="A16" s="9" t="s">
        <v>165</v>
      </c>
      <c r="B16" s="10" t="n">
        <v>4387</v>
      </c>
      <c r="C16" s="10" t="n">
        <v>6942</v>
      </c>
      <c r="D16" s="10" t="n">
        <v>19163</v>
      </c>
      <c r="E16" s="10" t="n">
        <v>24825</v>
      </c>
      <c r="F16" s="10" t="n">
        <v>29206</v>
      </c>
      <c r="G16" s="10" t="n">
        <v>10844</v>
      </c>
      <c r="H16" s="10" t="n">
        <f aca="false">SUM(B16:G16)</f>
        <v>95367</v>
      </c>
      <c r="I16" s="11" t="n">
        <v>0.7262</v>
      </c>
      <c r="J16" s="12" t="n">
        <v>68354.1</v>
      </c>
      <c r="K16" s="12" t="n">
        <v>40725</v>
      </c>
      <c r="L16" s="11" t="n">
        <v>0.2094</v>
      </c>
      <c r="M16" s="11" t="n">
        <v>0.0171</v>
      </c>
      <c r="N16" s="11" t="n">
        <v>0.0834</v>
      </c>
      <c r="O16" s="11" t="n">
        <v>0.6901</v>
      </c>
      <c r="P16" s="11" t="n">
        <v>0</v>
      </c>
      <c r="Q16" s="13"/>
      <c r="R16" s="13"/>
      <c r="S16" s="13" t="s">
        <v>45</v>
      </c>
      <c r="T16" s="13" t="s">
        <v>166</v>
      </c>
      <c r="U16" s="14"/>
      <c r="V16" s="14"/>
      <c r="W16" s="14"/>
    </row>
    <row r="17" customFormat="false" ht="23.85" hidden="false" customHeight="false" outlineLevel="0" collapsed="false">
      <c r="A17" s="9" t="s">
        <v>167</v>
      </c>
      <c r="B17" s="10" t="n">
        <v>5847</v>
      </c>
      <c r="C17" s="10" t="n">
        <v>12691</v>
      </c>
      <c r="D17" s="10" t="n">
        <v>18904</v>
      </c>
      <c r="E17" s="10" t="n">
        <v>24797</v>
      </c>
      <c r="F17" s="10" t="n">
        <v>27099</v>
      </c>
      <c r="G17" s="10" t="n">
        <v>3</v>
      </c>
      <c r="H17" s="10" t="n">
        <f aca="false">SUM(B17:G17)</f>
        <v>89341</v>
      </c>
      <c r="I17" s="11" t="n">
        <v>0.8628</v>
      </c>
      <c r="J17" s="12" t="n">
        <v>48541.7</v>
      </c>
      <c r="K17" s="12" t="n">
        <v>39510.2</v>
      </c>
      <c r="L17" s="11" t="n">
        <v>0.0615</v>
      </c>
      <c r="M17" s="11" t="n">
        <v>0.0293</v>
      </c>
      <c r="N17" s="11" t="n">
        <v>0.116</v>
      </c>
      <c r="O17" s="11" t="n">
        <v>0.7932</v>
      </c>
      <c r="P17" s="11" t="n">
        <v>0</v>
      </c>
      <c r="Q17" s="13"/>
      <c r="R17" s="13"/>
      <c r="S17" s="13" t="s">
        <v>45</v>
      </c>
      <c r="T17" s="13" t="s">
        <v>168</v>
      </c>
      <c r="U17" s="14"/>
      <c r="V17" s="14"/>
      <c r="W17" s="14"/>
    </row>
    <row r="18" customFormat="false" ht="23.85" hidden="false" customHeight="false" outlineLevel="0" collapsed="false">
      <c r="A18" s="9" t="s">
        <v>169</v>
      </c>
      <c r="B18" s="10" t="n">
        <v>13027</v>
      </c>
      <c r="C18" s="10" t="n">
        <v>18139</v>
      </c>
      <c r="D18" s="10" t="n">
        <v>17957</v>
      </c>
      <c r="E18" s="10" t="n">
        <v>19493</v>
      </c>
      <c r="F18" s="10" t="n">
        <v>972</v>
      </c>
      <c r="G18" s="10" t="n">
        <v>35</v>
      </c>
      <c r="H18" s="10" t="n">
        <f aca="false">SUM(B18:G18)</f>
        <v>69623</v>
      </c>
      <c r="I18" s="11" t="n">
        <v>0.8903</v>
      </c>
      <c r="J18" s="12" t="n">
        <v>45111.2</v>
      </c>
      <c r="K18" s="12" t="n">
        <v>38961</v>
      </c>
      <c r="L18" s="11" t="n">
        <v>0.0045</v>
      </c>
      <c r="M18" s="11" t="n">
        <v>0.0017</v>
      </c>
      <c r="N18" s="11" t="n">
        <v>0.0382</v>
      </c>
      <c r="O18" s="11" t="n">
        <v>0.9555</v>
      </c>
      <c r="P18" s="11" t="n">
        <v>0</v>
      </c>
      <c r="Q18" s="13"/>
      <c r="R18" s="13"/>
      <c r="S18" s="13" t="s">
        <v>45</v>
      </c>
      <c r="T18" s="13" t="s">
        <v>144</v>
      </c>
      <c r="U18" s="14"/>
      <c r="V18" s="14"/>
      <c r="W18" s="14"/>
    </row>
    <row r="19" customFormat="false" ht="23.85" hidden="false" customHeight="false" outlineLevel="0" collapsed="false">
      <c r="A19" s="9" t="s">
        <v>170</v>
      </c>
      <c r="B19" s="10" t="n">
        <v>11151</v>
      </c>
      <c r="C19" s="10" t="n">
        <v>17079</v>
      </c>
      <c r="D19" s="10" t="n">
        <v>7736</v>
      </c>
      <c r="E19" s="10" t="n">
        <v>19245</v>
      </c>
      <c r="F19" s="10" t="n">
        <v>936</v>
      </c>
      <c r="G19" s="10" t="n">
        <v>25</v>
      </c>
      <c r="H19" s="10" t="n">
        <f aca="false">SUM(B19:G19)</f>
        <v>56172</v>
      </c>
      <c r="I19" s="11" t="n">
        <v>0.885</v>
      </c>
      <c r="J19" s="12" t="n">
        <v>37711.9</v>
      </c>
      <c r="K19" s="12" t="n">
        <v>32867.7</v>
      </c>
      <c r="L19" s="11" t="n">
        <v>0.0051</v>
      </c>
      <c r="M19" s="11" t="n">
        <v>0.002</v>
      </c>
      <c r="N19" s="11" t="n">
        <v>0.0201</v>
      </c>
      <c r="O19" s="11" t="n">
        <v>0.9727</v>
      </c>
      <c r="P19" s="11" t="n">
        <v>0</v>
      </c>
      <c r="Q19" s="13"/>
      <c r="R19" s="13"/>
      <c r="S19" s="13" t="s">
        <v>45</v>
      </c>
      <c r="T19" s="13" t="s">
        <v>144</v>
      </c>
      <c r="U19" s="14"/>
      <c r="V19" s="14"/>
      <c r="W19" s="14"/>
    </row>
    <row r="20" customFormat="false" ht="23.85" hidden="false" customHeight="false" outlineLevel="0" collapsed="false">
      <c r="A20" s="9" t="s">
        <v>171</v>
      </c>
      <c r="B20" s="10" t="n">
        <v>0</v>
      </c>
      <c r="C20" s="10" t="n">
        <v>0</v>
      </c>
      <c r="D20" s="10" t="n">
        <v>0</v>
      </c>
      <c r="E20" s="10" t="n">
        <v>1560</v>
      </c>
      <c r="F20" s="10" t="n">
        <v>40505</v>
      </c>
      <c r="G20" s="10" t="n">
        <v>1781</v>
      </c>
      <c r="H20" s="10" t="n">
        <f aca="false">SUM(B20:G20)</f>
        <v>43846</v>
      </c>
      <c r="I20" s="11" t="n">
        <v>0.5654</v>
      </c>
      <c r="J20" s="12" t="n">
        <v>36521.8</v>
      </c>
      <c r="K20" s="12" t="n">
        <v>15535.6</v>
      </c>
      <c r="L20" s="11" t="n">
        <v>0.3665</v>
      </c>
      <c r="M20" s="11" t="n">
        <v>0.0631</v>
      </c>
      <c r="N20" s="11" t="n">
        <v>0.175</v>
      </c>
      <c r="O20" s="11" t="n">
        <v>0.3955</v>
      </c>
      <c r="P20" s="11" t="n">
        <v>0</v>
      </c>
      <c r="Q20" s="13"/>
      <c r="R20" s="13"/>
      <c r="S20" s="13" t="s">
        <v>45</v>
      </c>
      <c r="T20" s="13" t="s">
        <v>172</v>
      </c>
      <c r="U20" s="14"/>
      <c r="V20" s="14"/>
      <c r="W20" s="14"/>
    </row>
    <row r="21" customFormat="false" ht="23.85" hidden="false" customHeight="false" outlineLevel="0" collapsed="false">
      <c r="A21" s="9" t="s">
        <v>173</v>
      </c>
      <c r="B21" s="10" t="n">
        <v>4095</v>
      </c>
      <c r="C21" s="10" t="n">
        <v>5805</v>
      </c>
      <c r="D21" s="10" t="n">
        <v>7632</v>
      </c>
      <c r="E21" s="10" t="n">
        <v>11311</v>
      </c>
      <c r="F21" s="10" t="n">
        <v>7371</v>
      </c>
      <c r="G21" s="10" t="n">
        <v>1320</v>
      </c>
      <c r="H21" s="10" t="n">
        <f aca="false">SUM(B21:G21)</f>
        <v>37534</v>
      </c>
      <c r="I21" s="11" t="n">
        <v>0.9187</v>
      </c>
      <c r="J21" s="12" t="n">
        <v>4789.8</v>
      </c>
      <c r="K21" s="12" t="n">
        <v>2577.6</v>
      </c>
      <c r="L21" s="11" t="n">
        <v>0.049</v>
      </c>
      <c r="M21" s="11" t="n">
        <v>0.0059</v>
      </c>
      <c r="N21" s="11" t="n">
        <v>0.0804</v>
      </c>
      <c r="O21" s="11" t="n">
        <v>0.8648</v>
      </c>
      <c r="P21" s="11" t="n">
        <v>0</v>
      </c>
      <c r="Q21" s="13"/>
      <c r="R21" s="13"/>
      <c r="S21" s="13" t="s">
        <v>45</v>
      </c>
      <c r="T21" s="13" t="s">
        <v>174</v>
      </c>
      <c r="U21" s="14"/>
      <c r="V21" s="14"/>
      <c r="W21" s="14"/>
    </row>
    <row r="22" customFormat="false" ht="23.85" hidden="false" customHeight="false" outlineLevel="0" collapsed="false">
      <c r="A22" s="9" t="s">
        <v>175</v>
      </c>
      <c r="B22" s="10" t="n">
        <v>0</v>
      </c>
      <c r="C22" s="10" t="n">
        <v>0</v>
      </c>
      <c r="D22" s="10" t="n">
        <v>573</v>
      </c>
      <c r="E22" s="10" t="n">
        <v>14556</v>
      </c>
      <c r="F22" s="10" t="n">
        <v>15580</v>
      </c>
      <c r="G22" s="10" t="n">
        <v>0</v>
      </c>
      <c r="H22" s="10" t="n">
        <f aca="false">SUM(B22:G22)</f>
        <v>30709</v>
      </c>
      <c r="I22" s="11" t="n">
        <v>0.9891</v>
      </c>
      <c r="J22" s="12" t="n">
        <v>9286.9</v>
      </c>
      <c r="K22" s="12" t="n">
        <v>9452.2</v>
      </c>
      <c r="L22" s="11" t="n">
        <v>0</v>
      </c>
      <c r="M22" s="11" t="n">
        <v>0.045</v>
      </c>
      <c r="N22" s="11" t="n">
        <v>0.1811</v>
      </c>
      <c r="O22" s="11" t="n">
        <v>0.7739</v>
      </c>
      <c r="P22" s="11" t="n">
        <v>0</v>
      </c>
      <c r="Q22" s="13"/>
      <c r="R22" s="13"/>
      <c r="S22" s="13" t="s">
        <v>45</v>
      </c>
      <c r="T22" s="13" t="s">
        <v>176</v>
      </c>
      <c r="U22" s="14"/>
      <c r="V22" s="14"/>
      <c r="W22" s="14"/>
    </row>
    <row r="23" customFormat="false" ht="23.85" hidden="false" customHeight="false" outlineLevel="0" collapsed="false">
      <c r="A23" s="9" t="s">
        <v>177</v>
      </c>
      <c r="B23" s="10" t="n">
        <v>7194</v>
      </c>
      <c r="C23" s="10" t="n">
        <v>5063</v>
      </c>
      <c r="D23" s="10" t="n">
        <v>5746</v>
      </c>
      <c r="E23" s="10" t="n">
        <v>5260</v>
      </c>
      <c r="F23" s="10" t="n">
        <v>3980</v>
      </c>
      <c r="G23" s="10" t="n">
        <v>0</v>
      </c>
      <c r="H23" s="10" t="n">
        <f aca="false">SUM(B23:G23)</f>
        <v>27243</v>
      </c>
      <c r="I23" s="11" t="n">
        <v>0.9765</v>
      </c>
      <c r="J23" s="12" t="n">
        <v>8192.4</v>
      </c>
      <c r="K23" s="12" t="n">
        <v>7733.4</v>
      </c>
      <c r="L23" s="11" t="n">
        <v>0.0005</v>
      </c>
      <c r="M23" s="11" t="n">
        <v>0.0224</v>
      </c>
      <c r="N23" s="11" t="n">
        <v>0.0893</v>
      </c>
      <c r="O23" s="11" t="n">
        <v>0.8878</v>
      </c>
      <c r="P23" s="11" t="n">
        <v>0</v>
      </c>
      <c r="Q23" s="13"/>
      <c r="R23" s="13"/>
      <c r="S23" s="13" t="s">
        <v>45</v>
      </c>
      <c r="T23" s="13" t="s">
        <v>178</v>
      </c>
      <c r="U23" s="14"/>
      <c r="V23" s="14"/>
      <c r="W23" s="14"/>
    </row>
    <row r="24" customFormat="false" ht="23.85" hidden="false" customHeight="false" outlineLevel="0" collapsed="false">
      <c r="A24" s="9" t="s">
        <v>95</v>
      </c>
      <c r="B24" s="10" t="n">
        <v>0</v>
      </c>
      <c r="C24" s="10" t="n">
        <v>0</v>
      </c>
      <c r="D24" s="10" t="n">
        <v>0</v>
      </c>
      <c r="E24" s="10" t="n">
        <v>0</v>
      </c>
      <c r="F24" s="10" t="n">
        <v>1</v>
      </c>
      <c r="G24" s="10" t="n">
        <v>26255</v>
      </c>
      <c r="H24" s="10" t="n">
        <f aca="false">SUM(B24:G24)</f>
        <v>26256</v>
      </c>
      <c r="I24" s="11" t="n">
        <v>0</v>
      </c>
      <c r="J24" s="12" t="n">
        <v>5952.3</v>
      </c>
      <c r="K24" s="12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1</v>
      </c>
      <c r="Q24" s="13" t="s">
        <v>96</v>
      </c>
      <c r="R24" s="13" t="s">
        <v>179</v>
      </c>
      <c r="S24" s="13" t="s">
        <v>98</v>
      </c>
      <c r="T24" s="13" t="s">
        <v>180</v>
      </c>
      <c r="U24" s="14"/>
      <c r="V24" s="14"/>
      <c r="W24" s="14"/>
    </row>
    <row r="25" customFormat="false" ht="23.85" hidden="false" customHeight="false" outlineLevel="0" collapsed="false">
      <c r="A25" s="9" t="s">
        <v>181</v>
      </c>
      <c r="B25" s="10" t="n">
        <v>6355</v>
      </c>
      <c r="C25" s="10" t="n">
        <v>4431</v>
      </c>
      <c r="D25" s="10" t="n">
        <v>4763</v>
      </c>
      <c r="E25" s="10" t="n">
        <v>4582</v>
      </c>
      <c r="F25" s="10" t="n">
        <v>3957</v>
      </c>
      <c r="G25" s="10" t="n">
        <v>0</v>
      </c>
      <c r="H25" s="10" t="n">
        <f aca="false">SUM(B25:G25)</f>
        <v>24088</v>
      </c>
      <c r="I25" s="11" t="n">
        <v>0.9803</v>
      </c>
      <c r="J25" s="12" t="n">
        <v>7739.6</v>
      </c>
      <c r="K25" s="12" t="n">
        <v>7295</v>
      </c>
      <c r="L25" s="11" t="n">
        <v>0.0006</v>
      </c>
      <c r="M25" s="11" t="n">
        <v>0.0253</v>
      </c>
      <c r="N25" s="11" t="n">
        <v>0.0895</v>
      </c>
      <c r="O25" s="11" t="n">
        <v>0.8845</v>
      </c>
      <c r="P25" s="11" t="n">
        <v>0</v>
      </c>
      <c r="Q25" s="13"/>
      <c r="R25" s="13"/>
      <c r="S25" s="13" t="s">
        <v>45</v>
      </c>
      <c r="T25" s="13" t="s">
        <v>182</v>
      </c>
      <c r="U25" s="14"/>
      <c r="V25" s="14"/>
      <c r="W25" s="14"/>
    </row>
    <row r="26" customFormat="false" ht="23.85" hidden="false" customHeight="false" outlineLevel="0" collapsed="false">
      <c r="A26" s="9" t="s">
        <v>183</v>
      </c>
      <c r="B26" s="10" t="n">
        <v>24</v>
      </c>
      <c r="C26" s="10" t="n">
        <v>52</v>
      </c>
      <c r="D26" s="10" t="n">
        <v>45</v>
      </c>
      <c r="E26" s="10" t="n">
        <v>21</v>
      </c>
      <c r="F26" s="10" t="n">
        <v>5716</v>
      </c>
      <c r="G26" s="10" t="n">
        <v>13690</v>
      </c>
      <c r="H26" s="10" t="n">
        <f aca="false">SUM(B26:G26)</f>
        <v>19548</v>
      </c>
      <c r="I26" s="11" t="n">
        <v>0.0116</v>
      </c>
      <c r="J26" s="12" t="n">
        <v>22408.7</v>
      </c>
      <c r="K26" s="12" t="n">
        <v>89.2</v>
      </c>
      <c r="L26" s="11" t="n">
        <v>0.9705</v>
      </c>
      <c r="M26" s="11" t="n">
        <v>0.0254</v>
      </c>
      <c r="N26" s="11" t="n">
        <v>0.0001</v>
      </c>
      <c r="O26" s="11" t="n">
        <v>0.004</v>
      </c>
      <c r="P26" s="11" t="n">
        <v>0</v>
      </c>
      <c r="Q26" s="13"/>
      <c r="R26" s="13"/>
      <c r="S26" s="13" t="s">
        <v>45</v>
      </c>
      <c r="T26" s="13" t="s">
        <v>184</v>
      </c>
      <c r="U26" s="14"/>
      <c r="V26" s="14"/>
      <c r="W26" s="14"/>
    </row>
    <row r="27" customFormat="false" ht="23.85" hidden="false" customHeight="false" outlineLevel="0" collapsed="false">
      <c r="A27" s="9" t="s">
        <v>185</v>
      </c>
      <c r="B27" s="10" t="n">
        <v>946</v>
      </c>
      <c r="C27" s="10" t="n">
        <v>8</v>
      </c>
      <c r="D27" s="10" t="n">
        <v>11104</v>
      </c>
      <c r="E27" s="10" t="n">
        <v>800</v>
      </c>
      <c r="F27" s="10" t="n">
        <v>117</v>
      </c>
      <c r="G27" s="10" t="n">
        <v>15</v>
      </c>
      <c r="H27" s="10" t="n">
        <f aca="false">SUM(B27:G27)</f>
        <v>12990</v>
      </c>
      <c r="I27" s="11" t="n">
        <v>0.9069</v>
      </c>
      <c r="J27" s="12" t="n">
        <v>10986.4</v>
      </c>
      <c r="K27" s="12" t="n">
        <v>9673</v>
      </c>
      <c r="L27" s="11" t="n">
        <v>0.0045</v>
      </c>
      <c r="M27" s="11" t="n">
        <v>0.002</v>
      </c>
      <c r="N27" s="11" t="n">
        <v>0.2283</v>
      </c>
      <c r="O27" s="11" t="n">
        <v>0.7653</v>
      </c>
      <c r="P27" s="11" t="n">
        <v>0</v>
      </c>
      <c r="Q27" s="13"/>
      <c r="R27" s="13"/>
      <c r="S27" s="13" t="s">
        <v>45</v>
      </c>
      <c r="T27" s="13" t="s">
        <v>186</v>
      </c>
      <c r="U27" s="14"/>
      <c r="V27" s="14"/>
      <c r="W27" s="14"/>
    </row>
    <row r="28" customFormat="false" ht="23.85" hidden="false" customHeight="false" outlineLevel="0" collapsed="false">
      <c r="A28" s="9" t="s">
        <v>187</v>
      </c>
      <c r="B28" s="10" t="n">
        <v>21</v>
      </c>
      <c r="C28" s="10" t="n">
        <v>43</v>
      </c>
      <c r="D28" s="10" t="n">
        <v>20</v>
      </c>
      <c r="E28" s="10" t="n">
        <v>3</v>
      </c>
      <c r="F28" s="10" t="n">
        <v>10964</v>
      </c>
      <c r="G28" s="10" t="n">
        <v>93</v>
      </c>
      <c r="H28" s="10" t="n">
        <f aca="false">SUM(B28:G28)</f>
        <v>11144</v>
      </c>
      <c r="I28" s="11" t="n">
        <v>0.67</v>
      </c>
      <c r="J28" s="12" t="n">
        <v>17861.1</v>
      </c>
      <c r="K28" s="12" t="n">
        <v>9988.1</v>
      </c>
      <c r="L28" s="11" t="n">
        <v>0.2748</v>
      </c>
      <c r="M28" s="11" t="n">
        <v>0.095</v>
      </c>
      <c r="N28" s="11" t="n">
        <v>0.2109</v>
      </c>
      <c r="O28" s="11" t="n">
        <v>0.4193</v>
      </c>
      <c r="P28" s="11" t="n">
        <v>0</v>
      </c>
      <c r="Q28" s="13"/>
      <c r="R28" s="13"/>
      <c r="S28" s="13" t="s">
        <v>45</v>
      </c>
      <c r="T28" s="13" t="s">
        <v>188</v>
      </c>
      <c r="U28" s="14"/>
      <c r="V28" s="14"/>
      <c r="W28" s="14"/>
    </row>
    <row r="29" customFormat="false" ht="23.85" hidden="false" customHeight="false" outlineLevel="0" collapsed="false">
      <c r="A29" s="9" t="s">
        <v>189</v>
      </c>
      <c r="B29" s="10" t="n">
        <v>875</v>
      </c>
      <c r="C29" s="10" t="n">
        <v>1019</v>
      </c>
      <c r="D29" s="10" t="n">
        <v>1044</v>
      </c>
      <c r="E29" s="10" t="n">
        <v>1241</v>
      </c>
      <c r="F29" s="10" t="n">
        <v>2076</v>
      </c>
      <c r="G29" s="10" t="n">
        <v>2670</v>
      </c>
      <c r="H29" s="10" t="n">
        <f aca="false">SUM(B29:G29)</f>
        <v>8925</v>
      </c>
      <c r="I29" s="11" t="n">
        <v>0.5454</v>
      </c>
      <c r="J29" s="12" t="n">
        <v>74587.7</v>
      </c>
      <c r="K29" s="12" t="n">
        <v>41947.7</v>
      </c>
      <c r="L29" s="11" t="n">
        <v>0.3937</v>
      </c>
      <c r="M29" s="11" t="n">
        <v>0.044</v>
      </c>
      <c r="N29" s="11" t="n">
        <v>0.0748</v>
      </c>
      <c r="O29" s="11" t="n">
        <v>0.4874</v>
      </c>
      <c r="P29" s="11" t="n">
        <v>0</v>
      </c>
      <c r="Q29" s="13"/>
      <c r="R29" s="13"/>
      <c r="S29" s="13" t="s">
        <v>45</v>
      </c>
      <c r="T29" s="13" t="s">
        <v>46</v>
      </c>
      <c r="U29" s="14"/>
      <c r="V29" s="14"/>
      <c r="W29" s="14"/>
    </row>
    <row r="30" customFormat="false" ht="23.85" hidden="false" customHeight="false" outlineLevel="0" collapsed="false">
      <c r="A30" s="9" t="s">
        <v>190</v>
      </c>
      <c r="B30" s="10" t="n">
        <v>1316</v>
      </c>
      <c r="C30" s="10" t="n">
        <v>2301</v>
      </c>
      <c r="D30" s="10" t="n">
        <v>2547</v>
      </c>
      <c r="E30" s="10" t="n">
        <v>1597</v>
      </c>
      <c r="F30" s="10" t="n">
        <v>240</v>
      </c>
      <c r="G30" s="10" t="n">
        <v>0</v>
      </c>
      <c r="H30" s="10" t="n">
        <f aca="false">SUM(B30:G30)</f>
        <v>8001</v>
      </c>
      <c r="I30" s="11" t="n">
        <v>0.7883</v>
      </c>
      <c r="J30" s="12" t="n">
        <v>3678.2</v>
      </c>
      <c r="K30" s="12" t="n">
        <v>3279.1</v>
      </c>
      <c r="L30" s="11" t="n">
        <v>0.0004</v>
      </c>
      <c r="M30" s="11" t="n">
        <v>0.0001</v>
      </c>
      <c r="N30" s="11" t="n">
        <v>0.0226</v>
      </c>
      <c r="O30" s="11" t="n">
        <v>0.9769</v>
      </c>
      <c r="P30" s="11" t="n">
        <v>0</v>
      </c>
      <c r="Q30" s="13"/>
      <c r="R30" s="13"/>
      <c r="S30" s="13" t="s">
        <v>45</v>
      </c>
      <c r="T30" s="13" t="s">
        <v>191</v>
      </c>
      <c r="U30" s="14"/>
      <c r="V30" s="14"/>
      <c r="W30" s="14"/>
    </row>
    <row r="31" customFormat="false" ht="23.85" hidden="false" customHeight="false" outlineLevel="0" collapsed="false">
      <c r="A31" s="9" t="s">
        <v>192</v>
      </c>
      <c r="B31" s="10" t="n">
        <v>306</v>
      </c>
      <c r="C31" s="10" t="n">
        <v>293</v>
      </c>
      <c r="D31" s="10" t="n">
        <v>1053</v>
      </c>
      <c r="E31" s="10" t="n">
        <v>1523</v>
      </c>
      <c r="F31" s="10" t="n">
        <v>2819</v>
      </c>
      <c r="G31" s="10" t="n">
        <v>315</v>
      </c>
      <c r="H31" s="10" t="n">
        <f aca="false">SUM(B31:G31)</f>
        <v>6309</v>
      </c>
      <c r="I31" s="11" t="n">
        <v>0.9149</v>
      </c>
      <c r="J31" s="12" t="n">
        <v>8844.3</v>
      </c>
      <c r="K31" s="12" t="n">
        <v>7018.1</v>
      </c>
      <c r="L31" s="11" t="n">
        <v>0.0648</v>
      </c>
      <c r="M31" s="11" t="n">
        <v>0.0179</v>
      </c>
      <c r="N31" s="11" t="n">
        <v>0.1306</v>
      </c>
      <c r="O31" s="11" t="n">
        <v>0.7867</v>
      </c>
      <c r="P31" s="11" t="n">
        <v>0</v>
      </c>
      <c r="Q31" s="13"/>
      <c r="R31" s="13"/>
      <c r="S31" s="13" t="s">
        <v>45</v>
      </c>
      <c r="T31" s="13" t="s">
        <v>193</v>
      </c>
      <c r="U31" s="14"/>
      <c r="V31" s="14"/>
      <c r="W31" s="14"/>
    </row>
    <row r="32" customFormat="false" ht="23.85" hidden="false" customHeight="false" outlineLevel="0" collapsed="false">
      <c r="A32" s="9" t="s">
        <v>194</v>
      </c>
      <c r="B32" s="10" t="n">
        <v>2</v>
      </c>
      <c r="C32" s="10" t="n">
        <v>633</v>
      </c>
      <c r="D32" s="10" t="n">
        <v>2164</v>
      </c>
      <c r="E32" s="10" t="n">
        <v>931</v>
      </c>
      <c r="F32" s="10" t="n">
        <v>994</v>
      </c>
      <c r="G32" s="10" t="n">
        <v>248</v>
      </c>
      <c r="H32" s="10" t="n">
        <f aca="false">SUM(B32:G32)</f>
        <v>4972</v>
      </c>
      <c r="I32" s="11" t="n">
        <v>0.7313</v>
      </c>
      <c r="J32" s="12" t="n">
        <v>22541.9</v>
      </c>
      <c r="K32" s="12" t="n">
        <v>15854.4</v>
      </c>
      <c r="L32" s="11" t="n">
        <v>0.1122</v>
      </c>
      <c r="M32" s="11" t="n">
        <v>0.0396</v>
      </c>
      <c r="N32" s="11" t="n">
        <v>0.0738</v>
      </c>
      <c r="O32" s="11" t="n">
        <v>0.7743</v>
      </c>
      <c r="P32" s="11" t="n">
        <v>0</v>
      </c>
      <c r="Q32" s="13"/>
      <c r="R32" s="13"/>
      <c r="S32" s="13" t="s">
        <v>45</v>
      </c>
      <c r="T32" s="13" t="s">
        <v>195</v>
      </c>
      <c r="U32" s="14"/>
      <c r="V32" s="14"/>
      <c r="W32" s="14"/>
    </row>
    <row r="33" customFormat="false" ht="23.85" hidden="false" customHeight="false" outlineLevel="0" collapsed="false">
      <c r="A33" s="9" t="s">
        <v>196</v>
      </c>
      <c r="B33" s="10" t="n">
        <v>636</v>
      </c>
      <c r="C33" s="10" t="n">
        <v>401</v>
      </c>
      <c r="D33" s="10" t="n">
        <v>1392</v>
      </c>
      <c r="E33" s="10" t="n">
        <v>792</v>
      </c>
      <c r="F33" s="10" t="n">
        <v>636</v>
      </c>
      <c r="G33" s="10" t="n">
        <v>1071</v>
      </c>
      <c r="H33" s="10" t="n">
        <f aca="false">SUM(B33:G33)</f>
        <v>4928</v>
      </c>
      <c r="I33" s="11" t="n">
        <v>0.4349</v>
      </c>
      <c r="J33" s="12" t="n">
        <v>4517.9</v>
      </c>
      <c r="K33" s="12" t="n">
        <v>1367.8</v>
      </c>
      <c r="L33" s="11" t="n">
        <v>0.2601</v>
      </c>
      <c r="M33" s="11" t="n">
        <v>0.0388</v>
      </c>
      <c r="N33" s="11" t="n">
        <v>0.1027</v>
      </c>
      <c r="O33" s="11" t="n">
        <v>0.5984</v>
      </c>
      <c r="P33" s="11" t="n">
        <v>0</v>
      </c>
      <c r="Q33" s="13"/>
      <c r="R33" s="13"/>
      <c r="S33" s="13" t="s">
        <v>45</v>
      </c>
      <c r="T33" s="13" t="s">
        <v>197</v>
      </c>
      <c r="U33" s="14"/>
      <c r="V33" s="14"/>
      <c r="W33" s="14"/>
    </row>
    <row r="34" customFormat="false" ht="23.85" hidden="false" customHeight="false" outlineLevel="0" collapsed="false">
      <c r="A34" s="9" t="s">
        <v>198</v>
      </c>
      <c r="B34" s="10" t="n">
        <v>1563</v>
      </c>
      <c r="C34" s="10" t="n">
        <v>2</v>
      </c>
      <c r="D34" s="10" t="n">
        <v>0</v>
      </c>
      <c r="E34" s="10" t="n">
        <v>1147</v>
      </c>
      <c r="F34" s="10" t="n">
        <v>1767</v>
      </c>
      <c r="G34" s="10" t="n">
        <v>0</v>
      </c>
      <c r="H34" s="10" t="n">
        <f aca="false">SUM(B34:G34)</f>
        <v>4479</v>
      </c>
      <c r="I34" s="11" t="n">
        <v>0.2045</v>
      </c>
      <c r="J34" s="12" t="n">
        <v>17</v>
      </c>
      <c r="K34" s="12" t="n">
        <v>12.7</v>
      </c>
      <c r="L34" s="11" t="n">
        <v>0</v>
      </c>
      <c r="M34" s="11" t="n">
        <v>0.0078</v>
      </c>
      <c r="N34" s="11" t="n">
        <v>0.1264</v>
      </c>
      <c r="O34" s="11" t="n">
        <v>0.8658</v>
      </c>
      <c r="P34" s="11" t="n">
        <v>0</v>
      </c>
      <c r="Q34" s="13"/>
      <c r="R34" s="13"/>
      <c r="S34" s="13" t="s">
        <v>45</v>
      </c>
      <c r="T34" s="13" t="s">
        <v>199</v>
      </c>
      <c r="U34" s="14"/>
      <c r="V34" s="14"/>
      <c r="W34" s="14"/>
    </row>
    <row r="35" customFormat="false" ht="23.85" hidden="false" customHeight="false" outlineLevel="0" collapsed="false">
      <c r="A35" s="9" t="s">
        <v>200</v>
      </c>
      <c r="B35" s="10" t="n">
        <v>0</v>
      </c>
      <c r="C35" s="10" t="n">
        <v>0</v>
      </c>
      <c r="D35" s="10" t="n">
        <v>0</v>
      </c>
      <c r="E35" s="10" t="n">
        <v>0</v>
      </c>
      <c r="F35" s="10" t="n">
        <v>3</v>
      </c>
      <c r="G35" s="10" t="n">
        <v>2361</v>
      </c>
      <c r="H35" s="10" t="n">
        <f aca="false">SUM(B35:G35)</f>
        <v>2364</v>
      </c>
      <c r="I35" s="11" t="n">
        <v>0</v>
      </c>
      <c r="J35" s="12" t="n">
        <v>6288.4</v>
      </c>
      <c r="K35" s="12" t="n">
        <v>0</v>
      </c>
      <c r="L35" s="11" t="n">
        <v>0.997</v>
      </c>
      <c r="M35" s="11" t="n">
        <v>0.003</v>
      </c>
      <c r="N35" s="11" t="n">
        <v>0</v>
      </c>
      <c r="O35" s="11" t="n">
        <v>0</v>
      </c>
      <c r="P35" s="11" t="n">
        <v>0</v>
      </c>
      <c r="Q35" s="13"/>
      <c r="R35" s="13"/>
      <c r="S35" s="13" t="s">
        <v>45</v>
      </c>
      <c r="T35" s="13" t="s">
        <v>201</v>
      </c>
      <c r="U35" s="14"/>
      <c r="V35" s="14"/>
      <c r="W35" s="14"/>
    </row>
    <row r="36" customFormat="false" ht="23.85" hidden="false" customHeight="false" outlineLevel="0" collapsed="false">
      <c r="A36" s="9" t="s">
        <v>202</v>
      </c>
      <c r="B36" s="10" t="n">
        <v>346</v>
      </c>
      <c r="C36" s="10" t="n">
        <v>570</v>
      </c>
      <c r="D36" s="10" t="n">
        <v>321</v>
      </c>
      <c r="E36" s="10" t="n">
        <v>394</v>
      </c>
      <c r="F36" s="10" t="n">
        <v>214</v>
      </c>
      <c r="G36" s="10" t="n">
        <v>0</v>
      </c>
      <c r="H36" s="10" t="n">
        <f aca="false">SUM(B36:G36)</f>
        <v>1845</v>
      </c>
      <c r="I36" s="11" t="n">
        <v>0.6428</v>
      </c>
      <c r="J36" s="12" t="n">
        <v>70.9</v>
      </c>
      <c r="K36" s="12" t="n">
        <v>57.2</v>
      </c>
      <c r="L36" s="11" t="n">
        <v>0</v>
      </c>
      <c r="M36" s="11" t="n">
        <v>0.0005</v>
      </c>
      <c r="N36" s="11" t="n">
        <v>0.0488</v>
      </c>
      <c r="O36" s="11" t="n">
        <v>0.9507</v>
      </c>
      <c r="P36" s="11" t="n">
        <v>0</v>
      </c>
      <c r="Q36" s="13"/>
      <c r="R36" s="13"/>
      <c r="S36" s="13" t="s">
        <v>45</v>
      </c>
      <c r="T36" s="13" t="s">
        <v>203</v>
      </c>
      <c r="U36" s="14"/>
      <c r="V36" s="14"/>
      <c r="W36" s="14"/>
    </row>
    <row r="37" customFormat="false" ht="23.85" hidden="false" customHeight="false" outlineLevel="0" collapsed="false">
      <c r="A37" s="9" t="s">
        <v>204</v>
      </c>
      <c r="B37" s="10" t="n">
        <v>238</v>
      </c>
      <c r="C37" s="10" t="n">
        <v>587</v>
      </c>
      <c r="D37" s="10" t="n">
        <v>179</v>
      </c>
      <c r="E37" s="10" t="n">
        <v>258</v>
      </c>
      <c r="F37" s="10" t="n">
        <v>90</v>
      </c>
      <c r="G37" s="10" t="n">
        <v>0</v>
      </c>
      <c r="H37" s="10" t="n">
        <f aca="false">SUM(B37:G37)</f>
        <v>1352</v>
      </c>
      <c r="I37" s="11" t="n">
        <v>0.8787</v>
      </c>
      <c r="J37" s="12" t="n">
        <v>1612.5</v>
      </c>
      <c r="K37" s="12" t="n">
        <v>1438</v>
      </c>
      <c r="L37" s="11" t="n">
        <v>0</v>
      </c>
      <c r="M37" s="11" t="n">
        <v>0.0104</v>
      </c>
      <c r="N37" s="11" t="n">
        <v>0.0355</v>
      </c>
      <c r="O37" s="11" t="n">
        <v>0.9541</v>
      </c>
      <c r="P37" s="11" t="n">
        <v>0</v>
      </c>
      <c r="Q37" s="13"/>
      <c r="R37" s="13"/>
      <c r="S37" s="13" t="s">
        <v>45</v>
      </c>
      <c r="T37" s="13" t="s">
        <v>205</v>
      </c>
      <c r="U37" s="14"/>
      <c r="V37" s="14"/>
      <c r="W37" s="14"/>
    </row>
    <row r="38" customFormat="false" ht="15" hidden="false" customHeight="false" outlineLevel="0" collapsed="false">
      <c r="A38" s="9" t="s">
        <v>206</v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1292</v>
      </c>
      <c r="H38" s="10" t="n">
        <f aca="false">SUM(B38:G38)</f>
        <v>1292</v>
      </c>
      <c r="I38" s="11" t="n">
        <v>0</v>
      </c>
      <c r="J38" s="12" t="n">
        <v>4459.1</v>
      </c>
      <c r="K38" s="12" t="n">
        <v>0</v>
      </c>
      <c r="L38" s="11" t="n">
        <v>0.9992</v>
      </c>
      <c r="M38" s="11" t="n">
        <v>0.0008</v>
      </c>
      <c r="N38" s="11" t="n">
        <v>0</v>
      </c>
      <c r="O38" s="11" t="n">
        <v>0</v>
      </c>
      <c r="P38" s="11" t="n">
        <v>0</v>
      </c>
      <c r="Q38" s="13"/>
      <c r="R38" s="13"/>
      <c r="S38" s="13" t="s">
        <v>45</v>
      </c>
      <c r="T38" s="13" t="s">
        <v>207</v>
      </c>
      <c r="U38" s="14"/>
      <c r="V38" s="14"/>
      <c r="W38" s="14"/>
    </row>
    <row r="39" customFormat="false" ht="23.85" hidden="false" customHeight="false" outlineLevel="0" collapsed="false">
      <c r="A39" s="9" t="s">
        <v>208</v>
      </c>
      <c r="B39" s="10" t="n">
        <v>205</v>
      </c>
      <c r="C39" s="10" t="n">
        <v>424</v>
      </c>
      <c r="D39" s="10" t="n">
        <v>264</v>
      </c>
      <c r="E39" s="10" t="n">
        <v>6</v>
      </c>
      <c r="F39" s="10" t="n">
        <v>0</v>
      </c>
      <c r="G39" s="10" t="n">
        <v>0</v>
      </c>
      <c r="H39" s="10" t="n">
        <f aca="false">SUM(B39:G39)</f>
        <v>899</v>
      </c>
      <c r="I39" s="11" t="n">
        <v>0.9689</v>
      </c>
      <c r="J39" s="12" t="n">
        <v>39.8</v>
      </c>
      <c r="K39" s="12" t="n">
        <v>39.3</v>
      </c>
      <c r="L39" s="11" t="n">
        <v>0</v>
      </c>
      <c r="M39" s="11" t="n">
        <v>0</v>
      </c>
      <c r="N39" s="11" t="n">
        <v>0.089</v>
      </c>
      <c r="O39" s="11" t="n">
        <v>0.911</v>
      </c>
      <c r="P39" s="11" t="n">
        <v>0</v>
      </c>
      <c r="Q39" s="13"/>
      <c r="R39" s="13"/>
      <c r="S39" s="13" t="s">
        <v>45</v>
      </c>
      <c r="T39" s="13" t="s">
        <v>182</v>
      </c>
      <c r="U39" s="14"/>
      <c r="V39" s="14"/>
      <c r="W39" s="14"/>
    </row>
    <row r="40" customFormat="false" ht="23.85" hidden="false" customHeight="false" outlineLevel="0" collapsed="false">
      <c r="A40" s="9" t="s">
        <v>209</v>
      </c>
      <c r="B40" s="10" t="n">
        <v>55</v>
      </c>
      <c r="C40" s="10" t="n">
        <v>51</v>
      </c>
      <c r="D40" s="10" t="n">
        <v>88</v>
      </c>
      <c r="E40" s="10" t="n">
        <v>120</v>
      </c>
      <c r="F40" s="10" t="n">
        <v>192</v>
      </c>
      <c r="G40" s="10" t="n">
        <v>221</v>
      </c>
      <c r="H40" s="10" t="n">
        <f aca="false">SUM(B40:G40)</f>
        <v>727</v>
      </c>
      <c r="I40" s="11" t="n">
        <v>0.4897</v>
      </c>
      <c r="J40" s="12" t="n">
        <v>16015</v>
      </c>
      <c r="K40" s="12" t="n">
        <v>8843.4</v>
      </c>
      <c r="L40" s="11" t="n">
        <v>0.1376</v>
      </c>
      <c r="M40" s="11" t="n">
        <v>0.8432</v>
      </c>
      <c r="N40" s="11" t="n">
        <v>0.0165</v>
      </c>
      <c r="O40" s="11" t="n">
        <v>0.0028</v>
      </c>
      <c r="P40" s="11" t="n">
        <v>0</v>
      </c>
      <c r="Q40" s="13"/>
      <c r="R40" s="13"/>
      <c r="S40" s="13" t="s">
        <v>45</v>
      </c>
      <c r="T40" s="13" t="s">
        <v>104</v>
      </c>
      <c r="U40" s="14"/>
      <c r="V40" s="14"/>
      <c r="W40" s="14"/>
    </row>
    <row r="41" customFormat="false" ht="23.85" hidden="false" customHeight="false" outlineLevel="0" collapsed="false">
      <c r="A41" s="9" t="s">
        <v>210</v>
      </c>
      <c r="B41" s="10" t="n">
        <v>0</v>
      </c>
      <c r="C41" s="10" t="n">
        <v>0</v>
      </c>
      <c r="D41" s="10" t="n">
        <v>2</v>
      </c>
      <c r="E41" s="10" t="n">
        <v>0</v>
      </c>
      <c r="F41" s="10" t="n">
        <v>715</v>
      </c>
      <c r="G41" s="10" t="n">
        <v>4</v>
      </c>
      <c r="H41" s="10" t="n">
        <f aca="false">SUM(B41:G41)</f>
        <v>721</v>
      </c>
      <c r="I41" s="11" t="n">
        <v>0.0638</v>
      </c>
      <c r="J41" s="12" t="n">
        <v>2513.5</v>
      </c>
      <c r="K41" s="12" t="n">
        <v>12.6</v>
      </c>
      <c r="L41" s="11" t="n">
        <v>0.8086</v>
      </c>
      <c r="M41" s="11" t="n">
        <v>0.1914</v>
      </c>
      <c r="N41" s="11" t="n">
        <v>0</v>
      </c>
      <c r="O41" s="11" t="n">
        <v>0</v>
      </c>
      <c r="P41" s="11" t="n">
        <v>0</v>
      </c>
      <c r="Q41" s="13"/>
      <c r="R41" s="13"/>
      <c r="S41" s="13" t="s">
        <v>45</v>
      </c>
      <c r="T41" s="13" t="s">
        <v>211</v>
      </c>
      <c r="U41" s="14"/>
      <c r="V41" s="14"/>
      <c r="W41" s="14"/>
    </row>
    <row r="42" customFormat="false" ht="23.85" hidden="false" customHeight="false" outlineLevel="0" collapsed="false">
      <c r="A42" s="9" t="s">
        <v>212</v>
      </c>
      <c r="B42" s="10" t="n">
        <v>11</v>
      </c>
      <c r="C42" s="10" t="n">
        <v>20</v>
      </c>
      <c r="D42" s="10" t="n">
        <v>9</v>
      </c>
      <c r="E42" s="10" t="n">
        <v>9</v>
      </c>
      <c r="F42" s="10" t="n">
        <v>305</v>
      </c>
      <c r="G42" s="10" t="n">
        <v>320</v>
      </c>
      <c r="H42" s="10" t="n">
        <f aca="false">SUM(B42:G42)</f>
        <v>674</v>
      </c>
      <c r="I42" s="11" t="n">
        <v>0.0668</v>
      </c>
      <c r="J42" s="12" t="n">
        <v>921.8</v>
      </c>
      <c r="K42" s="12" t="n">
        <v>37.4</v>
      </c>
      <c r="L42" s="11" t="n">
        <v>0.8724</v>
      </c>
      <c r="M42" s="11" t="n">
        <v>0.0653</v>
      </c>
      <c r="N42" s="11" t="n">
        <v>0</v>
      </c>
      <c r="O42" s="11" t="n">
        <v>0.0623</v>
      </c>
      <c r="P42" s="11" t="n">
        <v>0</v>
      </c>
      <c r="Q42" s="13"/>
      <c r="R42" s="13"/>
      <c r="S42" s="13" t="s">
        <v>45</v>
      </c>
      <c r="T42" s="13" t="s">
        <v>213</v>
      </c>
      <c r="U42" s="14"/>
      <c r="V42" s="14"/>
      <c r="W42" s="14"/>
    </row>
    <row r="43" customFormat="false" ht="23.85" hidden="false" customHeight="false" outlineLevel="0" collapsed="false">
      <c r="A43" s="9" t="s">
        <v>214</v>
      </c>
      <c r="B43" s="10" t="n">
        <v>260</v>
      </c>
      <c r="C43" s="10" t="n">
        <v>177</v>
      </c>
      <c r="D43" s="10" t="n">
        <v>5</v>
      </c>
      <c r="E43" s="10" t="n">
        <v>41</v>
      </c>
      <c r="F43" s="10" t="n">
        <v>68</v>
      </c>
      <c r="G43" s="10" t="n">
        <v>0</v>
      </c>
      <c r="H43" s="10" t="n">
        <f aca="false">SUM(B43:G43)</f>
        <v>551</v>
      </c>
      <c r="I43" s="11" t="n">
        <v>0.8022</v>
      </c>
      <c r="J43" s="12" t="n">
        <v>1022.7</v>
      </c>
      <c r="K43" s="12" t="n">
        <v>762.6</v>
      </c>
      <c r="L43" s="11" t="n">
        <v>0.0399</v>
      </c>
      <c r="M43" s="11" t="n">
        <v>0.0127</v>
      </c>
      <c r="N43" s="11" t="n">
        <v>0.02</v>
      </c>
      <c r="O43" s="11" t="n">
        <v>0.9274</v>
      </c>
      <c r="P43" s="11" t="n">
        <v>0</v>
      </c>
      <c r="Q43" s="13"/>
      <c r="R43" s="13"/>
      <c r="S43" s="13" t="s">
        <v>45</v>
      </c>
      <c r="T43" s="13" t="s">
        <v>215</v>
      </c>
      <c r="U43" s="14"/>
      <c r="V43" s="14"/>
      <c r="W43" s="14"/>
    </row>
    <row r="44" customFormat="false" ht="23.85" hidden="false" customHeight="false" outlineLevel="0" collapsed="false">
      <c r="A44" s="9" t="s">
        <v>216</v>
      </c>
      <c r="B44" s="10" t="n">
        <v>178</v>
      </c>
      <c r="C44" s="10" t="n">
        <v>159</v>
      </c>
      <c r="D44" s="10" t="n">
        <v>47</v>
      </c>
      <c r="E44" s="10" t="n">
        <v>47</v>
      </c>
      <c r="F44" s="10" t="n">
        <v>61</v>
      </c>
      <c r="G44" s="10" t="n">
        <v>58</v>
      </c>
      <c r="H44" s="10" t="n">
        <f aca="false">SUM(B44:G44)</f>
        <v>550</v>
      </c>
      <c r="I44" s="11" t="n">
        <v>0.7473</v>
      </c>
      <c r="J44" s="12" t="n">
        <v>4443.6</v>
      </c>
      <c r="K44" s="12" t="n">
        <v>1782.7</v>
      </c>
      <c r="L44" s="11" t="n">
        <v>0.1345</v>
      </c>
      <c r="M44" s="11" t="n">
        <v>0.0273</v>
      </c>
      <c r="N44" s="11" t="n">
        <v>0.0255</v>
      </c>
      <c r="O44" s="11" t="n">
        <v>0.8127</v>
      </c>
      <c r="P44" s="11" t="n">
        <v>0</v>
      </c>
      <c r="Q44" s="13"/>
      <c r="R44" s="13"/>
      <c r="S44" s="13" t="s">
        <v>45</v>
      </c>
      <c r="T44" s="13" t="s">
        <v>217</v>
      </c>
      <c r="U44" s="14"/>
      <c r="V44" s="14"/>
      <c r="W44" s="14"/>
    </row>
    <row r="45" customFormat="false" ht="23.85" hidden="false" customHeight="false" outlineLevel="0" collapsed="false">
      <c r="A45" s="9" t="s">
        <v>218</v>
      </c>
      <c r="B45" s="10" t="n">
        <v>257</v>
      </c>
      <c r="C45" s="10" t="n">
        <v>177</v>
      </c>
      <c r="D45" s="10" t="n">
        <v>5</v>
      </c>
      <c r="E45" s="10" t="n">
        <v>40</v>
      </c>
      <c r="F45" s="10" t="n">
        <v>68</v>
      </c>
      <c r="G45" s="10" t="n">
        <v>0</v>
      </c>
      <c r="H45" s="10" t="n">
        <f aca="false">SUM(B45:G45)</f>
        <v>547</v>
      </c>
      <c r="I45" s="11" t="n">
        <v>0.8007</v>
      </c>
      <c r="J45" s="12" t="n">
        <v>1021.8</v>
      </c>
      <c r="K45" s="12" t="n">
        <v>761.8</v>
      </c>
      <c r="L45" s="11" t="n">
        <v>0.0402</v>
      </c>
      <c r="M45" s="11" t="n">
        <v>0.0128</v>
      </c>
      <c r="N45" s="11" t="n">
        <v>0.0201</v>
      </c>
      <c r="O45" s="11" t="n">
        <v>0.9269</v>
      </c>
      <c r="P45" s="11" t="n">
        <v>0</v>
      </c>
      <c r="Q45" s="13"/>
      <c r="R45" s="13"/>
      <c r="S45" s="13" t="s">
        <v>45</v>
      </c>
      <c r="T45" s="13" t="s">
        <v>219</v>
      </c>
      <c r="U45" s="14"/>
      <c r="V45" s="14"/>
      <c r="W45" s="14"/>
    </row>
    <row r="46" customFormat="false" ht="15" hidden="false" customHeight="false" outlineLevel="0" collapsed="false">
      <c r="A46" s="9" t="s">
        <v>220</v>
      </c>
      <c r="B46" s="10" t="n">
        <v>408</v>
      </c>
      <c r="C46" s="10" t="n">
        <v>67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f aca="false">SUM(B46:G46)</f>
        <v>475</v>
      </c>
      <c r="I46" s="11" t="n">
        <v>0.5895</v>
      </c>
      <c r="J46" s="12" t="n">
        <v>1539</v>
      </c>
      <c r="K46" s="12" t="n">
        <v>1001.7</v>
      </c>
      <c r="L46" s="11" t="n">
        <v>0</v>
      </c>
      <c r="M46" s="11" t="n">
        <v>1</v>
      </c>
      <c r="N46" s="11" t="n">
        <v>0</v>
      </c>
      <c r="O46" s="11" t="n">
        <v>0</v>
      </c>
      <c r="P46" s="11" t="n">
        <v>0</v>
      </c>
      <c r="Q46" s="13"/>
      <c r="R46" s="13"/>
      <c r="S46" s="13" t="s">
        <v>45</v>
      </c>
      <c r="T46" s="13" t="s">
        <v>221</v>
      </c>
      <c r="U46" s="14"/>
      <c r="V46" s="14"/>
      <c r="W46" s="14"/>
    </row>
    <row r="47" customFormat="false" ht="23.85" hidden="false" customHeight="false" outlineLevel="0" collapsed="false">
      <c r="A47" s="9" t="s">
        <v>222</v>
      </c>
      <c r="B47" s="10" t="n">
        <v>3</v>
      </c>
      <c r="C47" s="10" t="n">
        <v>5</v>
      </c>
      <c r="D47" s="10" t="n">
        <v>29</v>
      </c>
      <c r="E47" s="10" t="n">
        <v>64</v>
      </c>
      <c r="F47" s="10" t="n">
        <v>101</v>
      </c>
      <c r="G47" s="10" t="n">
        <v>24</v>
      </c>
      <c r="H47" s="10" t="n">
        <f aca="false">SUM(B47:G47)</f>
        <v>226</v>
      </c>
      <c r="I47" s="11" t="n">
        <v>0.5664</v>
      </c>
      <c r="J47" s="12" t="n">
        <v>452.7</v>
      </c>
      <c r="K47" s="12" t="n">
        <v>235.7</v>
      </c>
      <c r="L47" s="11" t="n">
        <v>0.3938</v>
      </c>
      <c r="M47" s="11" t="n">
        <v>0.0177</v>
      </c>
      <c r="N47" s="11" t="n">
        <v>0.0221</v>
      </c>
      <c r="O47" s="11" t="n">
        <v>0.5664</v>
      </c>
      <c r="P47" s="11" t="n">
        <v>0</v>
      </c>
      <c r="Q47" s="13"/>
      <c r="R47" s="13"/>
      <c r="S47" s="13" t="s">
        <v>45</v>
      </c>
      <c r="T47" s="13" t="s">
        <v>223</v>
      </c>
      <c r="U47" s="14"/>
      <c r="V47" s="14"/>
      <c r="W47" s="14"/>
    </row>
    <row r="48" customFormat="false" ht="15" hidden="false" customHeight="false" outlineLevel="0" collapsed="false">
      <c r="A48" s="9" t="s">
        <v>224</v>
      </c>
      <c r="B48" s="10" t="n">
        <v>0</v>
      </c>
      <c r="C48" s="10" t="n">
        <v>76</v>
      </c>
      <c r="D48" s="10" t="n">
        <v>1</v>
      </c>
      <c r="E48" s="10" t="n">
        <v>0</v>
      </c>
      <c r="F48" s="10" t="n">
        <v>0</v>
      </c>
      <c r="G48" s="10" t="n">
        <v>0</v>
      </c>
      <c r="H48" s="10" t="n">
        <f aca="false">SUM(B48:G48)</f>
        <v>77</v>
      </c>
      <c r="I48" s="11" t="n">
        <v>1</v>
      </c>
      <c r="J48" s="12" t="n">
        <v>30.1</v>
      </c>
      <c r="K48" s="12" t="n">
        <v>25.7</v>
      </c>
      <c r="L48" s="11" t="n">
        <v>0</v>
      </c>
      <c r="M48" s="11" t="n">
        <v>0</v>
      </c>
      <c r="N48" s="11" t="n">
        <v>0</v>
      </c>
      <c r="O48" s="11" t="n">
        <v>1</v>
      </c>
      <c r="P48" s="11" t="n">
        <v>0</v>
      </c>
      <c r="Q48" s="13"/>
      <c r="R48" s="13"/>
      <c r="S48" s="13" t="s">
        <v>45</v>
      </c>
      <c r="T48" s="13" t="s">
        <v>225</v>
      </c>
      <c r="U48" s="14"/>
      <c r="V48" s="14"/>
      <c r="W48" s="14"/>
    </row>
    <row r="49" customFormat="false" ht="15" hidden="false" customHeight="false" outlineLevel="0" collapsed="false">
      <c r="A49" s="9" t="s">
        <v>226</v>
      </c>
      <c r="B49" s="10" t="n">
        <v>47</v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f aca="false">SUM(B49:G49)</f>
        <v>47</v>
      </c>
      <c r="I49" s="11" t="n">
        <v>0.9574</v>
      </c>
      <c r="J49" s="12" t="n">
        <v>4</v>
      </c>
      <c r="K49" s="12" t="n">
        <v>2.9</v>
      </c>
      <c r="L49" s="11" t="n">
        <v>0</v>
      </c>
      <c r="M49" s="11" t="n">
        <v>0</v>
      </c>
      <c r="N49" s="11" t="n">
        <v>0.9787</v>
      </c>
      <c r="O49" s="11" t="n">
        <v>0.0213</v>
      </c>
      <c r="P49" s="11" t="n">
        <v>0</v>
      </c>
      <c r="Q49" s="13"/>
      <c r="R49" s="13"/>
      <c r="S49" s="13" t="s">
        <v>45</v>
      </c>
      <c r="T49" s="13" t="s">
        <v>227</v>
      </c>
      <c r="U49" s="14"/>
      <c r="V49" s="14"/>
      <c r="W49" s="14"/>
    </row>
    <row r="50" customFormat="false" ht="15" hidden="false" customHeight="false" outlineLevel="0" collapsed="false">
      <c r="A50" s="9" t="s">
        <v>228</v>
      </c>
      <c r="B50" s="10" t="n">
        <v>47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f aca="false">SUM(B50:G50)</f>
        <v>47</v>
      </c>
      <c r="I50" s="11" t="n">
        <v>0.9574</v>
      </c>
      <c r="J50" s="12" t="n">
        <v>4</v>
      </c>
      <c r="K50" s="12" t="n">
        <v>2.9</v>
      </c>
      <c r="L50" s="11" t="n">
        <v>0</v>
      </c>
      <c r="M50" s="11" t="n">
        <v>0</v>
      </c>
      <c r="N50" s="11" t="n">
        <v>0.9787</v>
      </c>
      <c r="O50" s="11" t="n">
        <v>0.0213</v>
      </c>
      <c r="P50" s="11" t="n">
        <v>0</v>
      </c>
      <c r="Q50" s="13"/>
      <c r="R50" s="13"/>
      <c r="S50" s="13" t="s">
        <v>45</v>
      </c>
      <c r="T50" s="13" t="s">
        <v>227</v>
      </c>
      <c r="U50" s="14"/>
      <c r="V50" s="14"/>
      <c r="W50" s="14"/>
    </row>
    <row r="51" customFormat="false" ht="23.85" hidden="false" customHeight="false" outlineLevel="0" collapsed="false">
      <c r="A51" s="9" t="s">
        <v>229</v>
      </c>
      <c r="B51" s="10" t="n">
        <v>12</v>
      </c>
      <c r="C51" s="10" t="n">
        <v>5</v>
      </c>
      <c r="D51" s="10" t="n">
        <v>8</v>
      </c>
      <c r="E51" s="10" t="n">
        <v>1</v>
      </c>
      <c r="F51" s="10" t="n">
        <v>4</v>
      </c>
      <c r="G51" s="10" t="n">
        <v>5</v>
      </c>
      <c r="H51" s="10" t="n">
        <f aca="false">SUM(B51:G51)</f>
        <v>35</v>
      </c>
      <c r="I51" s="11" t="n">
        <v>0.6857</v>
      </c>
      <c r="J51" s="12" t="n">
        <v>107.7</v>
      </c>
      <c r="K51" s="12" t="n">
        <v>37.8</v>
      </c>
      <c r="L51" s="11" t="n">
        <v>0.2</v>
      </c>
      <c r="M51" s="11" t="n">
        <v>0</v>
      </c>
      <c r="N51" s="11" t="n">
        <v>0</v>
      </c>
      <c r="O51" s="11" t="n">
        <v>0.8</v>
      </c>
      <c r="P51" s="11" t="n">
        <v>0</v>
      </c>
      <c r="Q51" s="13"/>
      <c r="R51" s="13"/>
      <c r="S51" s="13" t="s">
        <v>45</v>
      </c>
      <c r="T51" s="13" t="s">
        <v>230</v>
      </c>
      <c r="U51" s="14"/>
      <c r="V51" s="14"/>
      <c r="W51" s="14"/>
    </row>
    <row r="52" customFormat="false" ht="23.85" hidden="false" customHeight="false" outlineLevel="0" collapsed="false">
      <c r="A52" s="9" t="s">
        <v>231</v>
      </c>
      <c r="B52" s="10" t="n">
        <v>0</v>
      </c>
      <c r="C52" s="10" t="n">
        <v>0</v>
      </c>
      <c r="D52" s="10" t="n">
        <v>0</v>
      </c>
      <c r="E52" s="10" t="n">
        <v>2</v>
      </c>
      <c r="F52" s="10" t="n">
        <v>26</v>
      </c>
      <c r="G52" s="10" t="n">
        <v>0</v>
      </c>
      <c r="H52" s="10" t="n">
        <f aca="false">SUM(B52:G52)</f>
        <v>28</v>
      </c>
      <c r="I52" s="11" t="n">
        <v>0.0714</v>
      </c>
      <c r="J52" s="12" t="n">
        <v>91.9</v>
      </c>
      <c r="K52" s="12" t="n">
        <v>23</v>
      </c>
      <c r="L52" s="11" t="n">
        <v>0.9286</v>
      </c>
      <c r="M52" s="11" t="n">
        <v>0</v>
      </c>
      <c r="N52" s="11" t="n">
        <v>0</v>
      </c>
      <c r="O52" s="11" t="n">
        <v>0.0714</v>
      </c>
      <c r="P52" s="11" t="n">
        <v>0</v>
      </c>
      <c r="Q52" s="13"/>
      <c r="R52" s="13"/>
      <c r="S52" s="13" t="s">
        <v>45</v>
      </c>
      <c r="T52" s="13" t="s">
        <v>232</v>
      </c>
      <c r="U52" s="14"/>
      <c r="V52" s="14"/>
      <c r="W52" s="14"/>
    </row>
    <row r="53" customFormat="false" ht="15" hidden="false" customHeight="false" outlineLevel="0" collapsed="false">
      <c r="A53" s="9" t="s">
        <v>233</v>
      </c>
      <c r="B53" s="10" t="n">
        <v>0</v>
      </c>
      <c r="C53" s="10" t="n">
        <v>0</v>
      </c>
      <c r="D53" s="10" t="n">
        <v>22</v>
      </c>
      <c r="E53" s="10" t="n">
        <v>0</v>
      </c>
      <c r="F53" s="10" t="n">
        <v>0</v>
      </c>
      <c r="G53" s="10" t="n">
        <v>0</v>
      </c>
      <c r="H53" s="10" t="n">
        <f aca="false">SUM(B53:G53)</f>
        <v>22</v>
      </c>
      <c r="I53" s="11" t="n">
        <v>1</v>
      </c>
      <c r="J53" s="12" t="n">
        <v>11.2</v>
      </c>
      <c r="K53" s="12" t="n">
        <v>10.8</v>
      </c>
      <c r="L53" s="11" t="n">
        <v>0</v>
      </c>
      <c r="M53" s="11" t="n">
        <v>0</v>
      </c>
      <c r="N53" s="11" t="n">
        <v>0</v>
      </c>
      <c r="O53" s="11" t="n">
        <v>1</v>
      </c>
      <c r="P53" s="11" t="n">
        <v>0</v>
      </c>
      <c r="Q53" s="13"/>
      <c r="R53" s="13"/>
      <c r="S53" s="13" t="s">
        <v>45</v>
      </c>
      <c r="T53" s="13" t="s">
        <v>234</v>
      </c>
      <c r="U53" s="14"/>
      <c r="V53" s="14"/>
      <c r="W53" s="14"/>
    </row>
    <row r="54" customFormat="false" ht="15" hidden="false" customHeight="false" outlineLevel="0" collapsed="false">
      <c r="A54" s="9" t="s">
        <v>235</v>
      </c>
      <c r="B54" s="10" t="n">
        <v>21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f aca="false">SUM(B54:G54)</f>
        <v>21</v>
      </c>
      <c r="I54" s="11" t="n">
        <v>0.9524</v>
      </c>
      <c r="J54" s="12" t="n">
        <v>63.8</v>
      </c>
      <c r="K54" s="12" t="n">
        <v>85.8</v>
      </c>
      <c r="L54" s="11" t="n">
        <v>0.7619</v>
      </c>
      <c r="M54" s="11" t="n">
        <v>0.2381</v>
      </c>
      <c r="N54" s="11" t="n">
        <v>0</v>
      </c>
      <c r="O54" s="11" t="n">
        <v>0</v>
      </c>
      <c r="P54" s="11" t="n">
        <v>0</v>
      </c>
      <c r="Q54" s="13"/>
      <c r="R54" s="13"/>
      <c r="S54" s="13" t="s">
        <v>45</v>
      </c>
      <c r="T54" s="13" t="s">
        <v>236</v>
      </c>
      <c r="U54" s="14"/>
      <c r="V54" s="14"/>
      <c r="W54" s="14"/>
    </row>
    <row r="55" customFormat="false" ht="23.85" hidden="false" customHeight="false" outlineLevel="0" collapsed="false">
      <c r="A55" s="9" t="s">
        <v>237</v>
      </c>
      <c r="B55" s="10" t="n">
        <v>11</v>
      </c>
      <c r="C55" s="10" t="n">
        <v>4</v>
      </c>
      <c r="D55" s="10" t="n">
        <v>5</v>
      </c>
      <c r="E55" s="10" t="n">
        <v>0</v>
      </c>
      <c r="F55" s="10" t="n">
        <v>0</v>
      </c>
      <c r="G55" s="10" t="n">
        <v>0</v>
      </c>
      <c r="H55" s="10" t="n">
        <f aca="false">SUM(B55:G55)</f>
        <v>20</v>
      </c>
      <c r="I55" s="11" t="n">
        <v>0.95</v>
      </c>
      <c r="J55" s="12" t="n">
        <v>23.7</v>
      </c>
      <c r="K55" s="12" t="n">
        <v>22.1</v>
      </c>
      <c r="L55" s="11" t="n">
        <v>0</v>
      </c>
      <c r="M55" s="11" t="n">
        <v>0</v>
      </c>
      <c r="N55" s="11" t="n">
        <v>0</v>
      </c>
      <c r="O55" s="11" t="n">
        <v>1</v>
      </c>
      <c r="P55" s="11" t="n">
        <v>0</v>
      </c>
      <c r="Q55" s="13"/>
      <c r="R55" s="13"/>
      <c r="S55" s="13" t="s">
        <v>45</v>
      </c>
      <c r="T55" s="13" t="s">
        <v>238</v>
      </c>
      <c r="U55" s="14"/>
      <c r="V55" s="14"/>
      <c r="W55" s="14"/>
    </row>
    <row r="56" customFormat="false" ht="15" hidden="false" customHeight="false" outlineLevel="0" collapsed="false">
      <c r="A56" s="9" t="s">
        <v>239</v>
      </c>
      <c r="B56" s="10" t="n">
        <v>20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SUM(B56:G56)</f>
        <v>20</v>
      </c>
      <c r="I56" s="11" t="n">
        <v>0.7</v>
      </c>
      <c r="J56" s="12" t="n">
        <v>20.7</v>
      </c>
      <c r="K56" s="12" t="n">
        <v>23.8</v>
      </c>
      <c r="L56" s="11" t="n">
        <v>0</v>
      </c>
      <c r="M56" s="11" t="n">
        <v>0</v>
      </c>
      <c r="N56" s="11" t="n">
        <v>0</v>
      </c>
      <c r="O56" s="11" t="n">
        <v>1</v>
      </c>
      <c r="P56" s="11" t="n">
        <v>0</v>
      </c>
      <c r="Q56" s="13"/>
      <c r="R56" s="13"/>
      <c r="S56" s="13" t="s">
        <v>45</v>
      </c>
      <c r="T56" s="13" t="s">
        <v>240</v>
      </c>
      <c r="U56" s="14"/>
      <c r="V56" s="14"/>
      <c r="W56" s="14"/>
    </row>
    <row r="57" customFormat="false" ht="15" hidden="false" customHeight="false" outlineLevel="0" collapsed="false">
      <c r="A57" s="9" t="s">
        <v>241</v>
      </c>
      <c r="B57" s="10" t="n">
        <v>15</v>
      </c>
      <c r="C57" s="10" t="n">
        <v>4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SUM(B57:G57)</f>
        <v>19</v>
      </c>
      <c r="I57" s="11" t="n">
        <v>0.2105</v>
      </c>
      <c r="J57" s="12" t="n">
        <v>315.4</v>
      </c>
      <c r="K57" s="12" t="n">
        <v>0.3</v>
      </c>
      <c r="L57" s="11" t="n">
        <v>0.0526</v>
      </c>
      <c r="M57" s="11" t="n">
        <v>0.9474</v>
      </c>
      <c r="N57" s="11" t="n">
        <v>0</v>
      </c>
      <c r="O57" s="11" t="n">
        <v>0</v>
      </c>
      <c r="P57" s="11" t="n">
        <v>0</v>
      </c>
      <c r="Q57" s="13"/>
      <c r="R57" s="13"/>
      <c r="S57" s="13" t="s">
        <v>45</v>
      </c>
      <c r="T57" s="13" t="s">
        <v>242</v>
      </c>
      <c r="U57" s="14"/>
      <c r="V57" s="14"/>
      <c r="W57" s="14"/>
    </row>
    <row r="58" customFormat="false" ht="15" hidden="false" customHeight="false" outlineLevel="0" collapsed="false">
      <c r="A58" s="9" t="s">
        <v>243</v>
      </c>
      <c r="B58" s="10" t="n">
        <v>11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SUM(B58:G58)</f>
        <v>11</v>
      </c>
      <c r="I58" s="11" t="n">
        <v>0</v>
      </c>
      <c r="J58" s="12" t="n">
        <v>6.6</v>
      </c>
      <c r="K58" s="12" t="n">
        <v>0</v>
      </c>
      <c r="L58" s="11" t="n">
        <v>0</v>
      </c>
      <c r="M58" s="11" t="n">
        <v>1</v>
      </c>
      <c r="N58" s="11" t="n">
        <v>0</v>
      </c>
      <c r="O58" s="11" t="n">
        <v>0</v>
      </c>
      <c r="P58" s="11" t="n">
        <v>0</v>
      </c>
      <c r="Q58" s="13"/>
      <c r="R58" s="13"/>
      <c r="S58" s="13" t="s">
        <v>45</v>
      </c>
      <c r="T58" s="13" t="s">
        <v>244</v>
      </c>
      <c r="U58" s="14"/>
      <c r="V58" s="14"/>
      <c r="W58" s="14"/>
    </row>
    <row r="59" customFormat="false" ht="23.85" hidden="false" customHeight="false" outlineLevel="0" collapsed="false">
      <c r="A59" s="9" t="s">
        <v>245</v>
      </c>
      <c r="B59" s="10" t="n">
        <v>2</v>
      </c>
      <c r="C59" s="10" t="n">
        <v>1</v>
      </c>
      <c r="D59" s="10" t="n">
        <v>1</v>
      </c>
      <c r="E59" s="10" t="n">
        <v>0</v>
      </c>
      <c r="F59" s="10" t="n">
        <v>0</v>
      </c>
      <c r="G59" s="10" t="n">
        <v>0</v>
      </c>
      <c r="H59" s="10" t="n">
        <f aca="false">SUM(B59:G59)</f>
        <v>4</v>
      </c>
      <c r="I59" s="11" t="n">
        <v>1</v>
      </c>
      <c r="J59" s="12" t="n">
        <v>1.8</v>
      </c>
      <c r="K59" s="12" t="n">
        <v>1.7</v>
      </c>
      <c r="L59" s="11" t="n">
        <v>0</v>
      </c>
      <c r="M59" s="11" t="n">
        <v>0</v>
      </c>
      <c r="N59" s="11" t="n">
        <v>0.25</v>
      </c>
      <c r="O59" s="11" t="n">
        <v>0.75</v>
      </c>
      <c r="P59" s="11" t="n">
        <v>0</v>
      </c>
      <c r="Q59" s="13"/>
      <c r="R59" s="13"/>
      <c r="S59" s="13" t="s">
        <v>45</v>
      </c>
      <c r="T59" s="13" t="s">
        <v>246</v>
      </c>
      <c r="U59" s="14"/>
      <c r="V59" s="14"/>
      <c r="W59" s="14"/>
    </row>
    <row r="60" customFormat="false" ht="15" hidden="false" customHeight="false" outlineLevel="0" collapsed="false">
      <c r="A60" s="9" t="s">
        <v>136</v>
      </c>
      <c r="B60" s="10" t="n">
        <v>4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f aca="false">SUM(B60:G60)</f>
        <v>4</v>
      </c>
      <c r="I60" s="11" t="n">
        <v>1</v>
      </c>
      <c r="J60" s="12" t="n">
        <v>0</v>
      </c>
      <c r="K60" s="12" t="n">
        <v>0.3</v>
      </c>
      <c r="L60" s="11" t="n">
        <v>0</v>
      </c>
      <c r="M60" s="11" t="n">
        <v>0</v>
      </c>
      <c r="N60" s="11" t="n">
        <v>0</v>
      </c>
      <c r="O60" s="11" t="n">
        <v>1</v>
      </c>
      <c r="P60" s="11" t="n">
        <v>0</v>
      </c>
      <c r="Q60" s="13"/>
      <c r="R60" s="13"/>
      <c r="S60" s="13" t="s">
        <v>45</v>
      </c>
      <c r="T60" s="13" t="s">
        <v>247</v>
      </c>
      <c r="U60" s="14"/>
      <c r="V60" s="14"/>
      <c r="W60" s="14"/>
    </row>
    <row r="61" customFormat="false" ht="15" hidden="false" customHeight="false" outlineLevel="0" collapsed="false">
      <c r="A61" s="9" t="s">
        <v>248</v>
      </c>
      <c r="B61" s="10" t="n">
        <v>0</v>
      </c>
      <c r="C61" s="10" t="n">
        <v>3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f aca="false">SUM(B61:G61)</f>
        <v>3</v>
      </c>
      <c r="I61" s="11" t="n">
        <v>0</v>
      </c>
      <c r="J61" s="12" t="n">
        <v>290.2</v>
      </c>
      <c r="K61" s="12" t="n">
        <v>0</v>
      </c>
      <c r="L61" s="11" t="n">
        <v>0</v>
      </c>
      <c r="M61" s="11" t="n">
        <v>1</v>
      </c>
      <c r="N61" s="11" t="n">
        <v>0</v>
      </c>
      <c r="O61" s="11" t="n">
        <v>0</v>
      </c>
      <c r="P61" s="11" t="n">
        <v>0</v>
      </c>
      <c r="Q61" s="13"/>
      <c r="R61" s="13"/>
      <c r="S61" s="13" t="s">
        <v>45</v>
      </c>
      <c r="T61" s="13" t="s">
        <v>249</v>
      </c>
      <c r="U61" s="14"/>
      <c r="V61" s="14"/>
      <c r="W61" s="14"/>
    </row>
    <row r="62" customFormat="false" ht="15" hidden="false" customHeight="false" outlineLevel="0" collapsed="false">
      <c r="A62" s="9" t="s">
        <v>250</v>
      </c>
      <c r="B62" s="10" t="n">
        <v>0</v>
      </c>
      <c r="C62" s="10" t="n">
        <v>3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f aca="false">SUM(B62:G62)</f>
        <v>3</v>
      </c>
      <c r="I62" s="11" t="n">
        <v>0</v>
      </c>
      <c r="J62" s="12" t="n">
        <v>290.2</v>
      </c>
      <c r="K62" s="12" t="n">
        <v>0</v>
      </c>
      <c r="L62" s="11" t="n">
        <v>0</v>
      </c>
      <c r="M62" s="11" t="n">
        <v>1</v>
      </c>
      <c r="N62" s="11" t="n">
        <v>0</v>
      </c>
      <c r="O62" s="11" t="n">
        <v>0</v>
      </c>
      <c r="P62" s="11" t="n">
        <v>0</v>
      </c>
      <c r="Q62" s="13"/>
      <c r="R62" s="13"/>
      <c r="S62" s="13" t="s">
        <v>45</v>
      </c>
      <c r="T62" s="13" t="s">
        <v>249</v>
      </c>
      <c r="U62" s="14"/>
      <c r="V62" s="14"/>
      <c r="W62" s="14"/>
    </row>
    <row r="63" customFormat="false" ht="15" hidden="false" customHeight="false" outlineLevel="0" collapsed="false">
      <c r="A63" s="9" t="s">
        <v>251</v>
      </c>
      <c r="B63" s="10" t="n">
        <v>1</v>
      </c>
      <c r="C63" s="10" t="n">
        <v>1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f aca="false">SUM(B63:G63)</f>
        <v>2</v>
      </c>
      <c r="I63" s="11" t="n">
        <v>1</v>
      </c>
      <c r="J63" s="12" t="n">
        <v>11.2</v>
      </c>
      <c r="K63" s="12" t="n">
        <v>14.8</v>
      </c>
      <c r="L63" s="11" t="n">
        <v>0</v>
      </c>
      <c r="M63" s="11" t="n">
        <v>0</v>
      </c>
      <c r="N63" s="11" t="n">
        <v>0</v>
      </c>
      <c r="O63" s="11" t="n">
        <v>1</v>
      </c>
      <c r="P63" s="11" t="n">
        <v>0</v>
      </c>
      <c r="Q63" s="13"/>
      <c r="R63" s="13"/>
      <c r="S63" s="13" t="s">
        <v>45</v>
      </c>
      <c r="T63" s="13" t="s">
        <v>252</v>
      </c>
      <c r="U63" s="14"/>
      <c r="V63" s="14"/>
      <c r="W63" s="14"/>
    </row>
    <row r="64" customFormat="false" ht="15" hidden="false" customHeight="false" outlineLevel="0" collapsed="false">
      <c r="A64" s="9" t="s">
        <v>253</v>
      </c>
      <c r="B64" s="10" t="n">
        <v>1</v>
      </c>
      <c r="C64" s="10" t="n">
        <v>1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f aca="false">SUM(B64:G64)</f>
        <v>2</v>
      </c>
      <c r="I64" s="11" t="n">
        <v>1</v>
      </c>
      <c r="J64" s="12" t="n">
        <v>0</v>
      </c>
      <c r="K64" s="12" t="n">
        <v>0</v>
      </c>
      <c r="L64" s="11" t="n">
        <v>0</v>
      </c>
      <c r="M64" s="11" t="n">
        <v>0</v>
      </c>
      <c r="N64" s="11" t="n">
        <v>0</v>
      </c>
      <c r="O64" s="11" t="n">
        <v>1</v>
      </c>
      <c r="P64" s="11" t="n">
        <v>0</v>
      </c>
      <c r="Q64" s="13"/>
      <c r="R64" s="13"/>
      <c r="S64" s="13" t="s">
        <v>45</v>
      </c>
      <c r="T64" s="13" t="s">
        <v>254</v>
      </c>
      <c r="U64" s="14"/>
      <c r="V64" s="14"/>
      <c r="W64" s="14"/>
    </row>
    <row r="65" customFormat="false" ht="15" hidden="false" customHeight="false" outlineLevel="0" collapsed="false">
      <c r="A65" s="9" t="s">
        <v>255</v>
      </c>
      <c r="B65" s="10" t="n">
        <v>1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  <c r="H65" s="10" t="n">
        <f aca="false">SUM(B65:G65)</f>
        <v>1</v>
      </c>
      <c r="I65" s="11" t="n">
        <v>1</v>
      </c>
      <c r="J65" s="12" t="n">
        <v>0</v>
      </c>
      <c r="K65" s="12" t="n">
        <v>0</v>
      </c>
      <c r="L65" s="11" t="n">
        <v>0</v>
      </c>
      <c r="M65" s="11" t="n">
        <v>0</v>
      </c>
      <c r="N65" s="11" t="n">
        <v>0</v>
      </c>
      <c r="O65" s="11" t="n">
        <v>1</v>
      </c>
      <c r="P65" s="11" t="n">
        <v>0</v>
      </c>
      <c r="Q65" s="13"/>
      <c r="R65" s="13"/>
      <c r="S65" s="13" t="s">
        <v>45</v>
      </c>
      <c r="T65" s="13" t="s">
        <v>256</v>
      </c>
      <c r="U65" s="14"/>
      <c r="V65" s="14"/>
      <c r="W65" s="14"/>
    </row>
    <row r="66" customFormat="false" ht="15" hidden="false" customHeight="false" outlineLevel="0" collapsed="false">
      <c r="A66" s="9" t="s">
        <v>257</v>
      </c>
      <c r="B66" s="10" t="n">
        <v>1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f aca="false">SUM(B66:G66)</f>
        <v>1</v>
      </c>
      <c r="I66" s="11" t="n">
        <v>1</v>
      </c>
      <c r="J66" s="12" t="n">
        <v>0</v>
      </c>
      <c r="K66" s="12" t="n">
        <v>0</v>
      </c>
      <c r="L66" s="11" t="n">
        <v>0</v>
      </c>
      <c r="M66" s="11" t="n">
        <v>0</v>
      </c>
      <c r="N66" s="11" t="n">
        <v>0</v>
      </c>
      <c r="O66" s="11" t="n">
        <v>1</v>
      </c>
      <c r="P66" s="11" t="n">
        <v>0</v>
      </c>
      <c r="Q66" s="13"/>
      <c r="R66" s="13"/>
      <c r="S66" s="13" t="s">
        <v>45</v>
      </c>
      <c r="T66" s="13" t="s">
        <v>258</v>
      </c>
      <c r="U66" s="14"/>
      <c r="V66" s="14"/>
      <c r="W66" s="14"/>
    </row>
    <row r="67" customFormat="false" ht="15" hidden="false" customHeight="false" outlineLevel="0" collapsed="false">
      <c r="A67" s="9" t="s">
        <v>259</v>
      </c>
      <c r="B67" s="10" t="n">
        <v>1</v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f aca="false">SUM(B67:G67)</f>
        <v>1</v>
      </c>
      <c r="I67" s="11" t="n">
        <v>1</v>
      </c>
      <c r="J67" s="12" t="n">
        <v>0</v>
      </c>
      <c r="K67" s="12" t="n">
        <v>0</v>
      </c>
      <c r="L67" s="11" t="n">
        <v>0</v>
      </c>
      <c r="M67" s="11" t="n">
        <v>0</v>
      </c>
      <c r="N67" s="11" t="n">
        <v>0</v>
      </c>
      <c r="O67" s="11" t="n">
        <v>1</v>
      </c>
      <c r="P67" s="11" t="n">
        <v>0</v>
      </c>
      <c r="Q67" s="13"/>
      <c r="R67" s="13"/>
      <c r="S67" s="13" t="s">
        <v>45</v>
      </c>
      <c r="T67" s="13" t="s">
        <v>260</v>
      </c>
      <c r="U67" s="14"/>
      <c r="V67" s="14"/>
      <c r="W67" s="14"/>
    </row>
    <row r="68" customFormat="false" ht="15" hidden="false" customHeight="false" outlineLevel="0" collapsed="false">
      <c r="A68" s="9" t="s">
        <v>261</v>
      </c>
      <c r="B68" s="10" t="n">
        <v>0</v>
      </c>
      <c r="C68" s="10" t="n">
        <v>0</v>
      </c>
      <c r="D68" s="10" t="n">
        <v>0</v>
      </c>
      <c r="E68" s="10" t="n">
        <v>0</v>
      </c>
      <c r="F68" s="10" t="n">
        <v>1</v>
      </c>
      <c r="G68" s="10" t="n">
        <v>0</v>
      </c>
      <c r="H68" s="10" t="n">
        <f aca="false">SUM(B68:G68)</f>
        <v>1</v>
      </c>
      <c r="I68" s="11" t="n">
        <v>1</v>
      </c>
      <c r="J68" s="12" t="n">
        <v>0.1</v>
      </c>
      <c r="K68" s="12" t="n">
        <v>0.1</v>
      </c>
      <c r="L68" s="11" t="n">
        <v>0</v>
      </c>
      <c r="M68" s="11" t="n">
        <v>0</v>
      </c>
      <c r="N68" s="11" t="n">
        <v>1</v>
      </c>
      <c r="O68" s="11" t="n">
        <v>0</v>
      </c>
      <c r="P68" s="11" t="n">
        <v>0</v>
      </c>
      <c r="Q68" s="13"/>
      <c r="R68" s="13"/>
      <c r="S68" s="13" t="s">
        <v>45</v>
      </c>
      <c r="T68" s="13" t="s">
        <v>262</v>
      </c>
      <c r="U68" s="14"/>
      <c r="V68" s="14"/>
      <c r="W68" s="14"/>
    </row>
  </sheetData>
  <autoFilter ref="A1:W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1"/>
  </cols>
  <sheetData>
    <row r="1" customFormat="false" ht="15" hidden="false" customHeight="false" outlineLevel="0" collapsed="false">
      <c r="A1" s="15" t="s">
        <v>263</v>
      </c>
    </row>
    <row r="2" customFormat="false" ht="15" hidden="false" customHeight="false" outlineLevel="0" collapsed="false">
      <c r="A2" s="16" t="s">
        <v>264</v>
      </c>
    </row>
    <row r="4" customFormat="false" ht="15" hidden="false" customHeight="false" outlineLevel="0" collapsed="false">
      <c r="A4" s="4" t="s">
        <v>265</v>
      </c>
      <c r="B4" s="4" t="s">
        <v>266</v>
      </c>
      <c r="C4" s="4" t="s">
        <v>267</v>
      </c>
      <c r="D4" s="4" t="s">
        <v>268</v>
      </c>
      <c r="E4" s="4" t="s">
        <v>269</v>
      </c>
      <c r="F4" s="4" t="s">
        <v>270</v>
      </c>
      <c r="G4" s="4" t="s">
        <v>271</v>
      </c>
      <c r="H4" s="4" t="s">
        <v>272</v>
      </c>
    </row>
    <row r="5" customFormat="false" ht="15" hidden="false" customHeight="false" outlineLevel="0" collapsed="false">
      <c r="A5" s="17" t="s">
        <v>78</v>
      </c>
      <c r="B5" s="18" t="n">
        <v>23</v>
      </c>
      <c r="C5" s="18" t="n">
        <v>27</v>
      </c>
      <c r="D5" s="18" t="n">
        <v>30</v>
      </c>
      <c r="E5" s="18" t="n">
        <v>41</v>
      </c>
      <c r="F5" s="18" t="n">
        <v>22911</v>
      </c>
      <c r="G5" s="18" t="n">
        <v>34925</v>
      </c>
      <c r="H5" s="18" t="n">
        <f aca="false">SUM(B5:G5)</f>
        <v>57957</v>
      </c>
    </row>
    <row r="6" customFormat="false" ht="15" hidden="false" customHeight="false" outlineLevel="0" collapsed="false">
      <c r="A6" s="17" t="s">
        <v>102</v>
      </c>
      <c r="B6" s="18" t="n">
        <v>475</v>
      </c>
      <c r="C6" s="18" t="n">
        <v>117</v>
      </c>
      <c r="D6" s="18" t="n">
        <v>117</v>
      </c>
      <c r="E6" s="18" t="n">
        <v>140</v>
      </c>
      <c r="F6" s="18" t="n">
        <v>7168</v>
      </c>
      <c r="G6" s="18" t="n">
        <v>153</v>
      </c>
      <c r="H6" s="18" t="n">
        <f aca="false">SUM(B6:G6)</f>
        <v>8170</v>
      </c>
    </row>
    <row r="7" customFormat="false" ht="15" hidden="false" customHeight="false" outlineLevel="0" collapsed="false">
      <c r="A7" s="17" t="s">
        <v>92</v>
      </c>
      <c r="B7" s="18" t="n">
        <v>307</v>
      </c>
      <c r="C7" s="18" t="n">
        <v>56</v>
      </c>
      <c r="D7" s="18" t="n">
        <v>9749</v>
      </c>
      <c r="E7" s="18" t="n">
        <v>18</v>
      </c>
      <c r="F7" s="18" t="n">
        <v>23590</v>
      </c>
      <c r="G7" s="18" t="n">
        <v>0</v>
      </c>
      <c r="H7" s="18" t="n">
        <f aca="false">SUM(B7:G7)</f>
        <v>33720</v>
      </c>
    </row>
    <row r="8" customFormat="false" ht="15" hidden="false" customHeight="false" outlineLevel="0" collapsed="false">
      <c r="A8" s="17" t="s">
        <v>14</v>
      </c>
      <c r="B8" s="18" t="n">
        <v>58470</v>
      </c>
      <c r="C8" s="18" t="n">
        <v>63503</v>
      </c>
      <c r="D8" s="18" t="n">
        <v>51231</v>
      </c>
      <c r="E8" s="18" t="n">
        <v>83070</v>
      </c>
      <c r="F8" s="18" t="n">
        <v>40392</v>
      </c>
      <c r="G8" s="18" t="n">
        <v>6</v>
      </c>
      <c r="H8" s="18" t="n">
        <f aca="false">SUM(B8:G8)</f>
        <v>296672</v>
      </c>
    </row>
    <row r="9" customFormat="false" ht="15" hidden="false" customHeight="false" outlineLevel="0" collapsed="false">
      <c r="A9" s="17" t="s">
        <v>273</v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26255</v>
      </c>
      <c r="H9" s="18" t="n">
        <f aca="false">SUM(B9:G9)</f>
        <v>26255</v>
      </c>
    </row>
    <row r="10" customFormat="false" ht="15" hidden="false" customHeight="false" outlineLevel="0" collapsed="false">
      <c r="A10" s="17" t="s">
        <v>272</v>
      </c>
      <c r="B10" s="19" t="n">
        <f aca="false">SUM(B5:B9)</f>
        <v>59275</v>
      </c>
      <c r="C10" s="19" t="n">
        <f aca="false">SUM(C5:C9)</f>
        <v>63703</v>
      </c>
      <c r="D10" s="19" t="n">
        <f aca="false">SUM(D5:D9)</f>
        <v>61127</v>
      </c>
      <c r="E10" s="19" t="n">
        <f aca="false">SUM(E5:E9)</f>
        <v>83269</v>
      </c>
      <c r="F10" s="19" t="n">
        <f aca="false">SUM(F5:F9)</f>
        <v>94061</v>
      </c>
      <c r="G10" s="19" t="n">
        <f aca="false">SUM(G5:G9)</f>
        <v>61339</v>
      </c>
      <c r="H10" s="19" t="n">
        <f aca="false">SUM(H5:H9)</f>
        <v>422774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2026-09-23T20:17:27Z</dcterms:created>
  <dc:creator>openpyxl</dc:creator>
  <dc:description/>
  <dc:language>en-US</dc:language>
  <cp:lastModifiedBy/>
  <dcterms:modified xsi:type="dcterms:W3CDTF">2026-09-23T20:17:29Z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