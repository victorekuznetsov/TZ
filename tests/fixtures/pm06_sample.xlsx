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BW-PM-M06.Гибкий отчет PM-M06 Планирование и исполнение воздействий на производственные активы </t>
        </is>
      </c>
    </row>
    <row r="3"/>
    <row r="4">
      <c r="B4" t="inlineStr">
        <is>
          <t>Период</t>
        </is>
      </c>
      <c r="C4">
        <f>_xll.SAPGetVariable("DS_1","0CALDAY_IMM01","VALUE")</f>
        <v/>
      </c>
    </row>
    <row r="5">
      <c r="B5" t="inlineStr">
        <is>
          <t>Группа выбора заказа</t>
        </is>
      </c>
      <c r="C5">
        <f>_xll.SAPGetVariable("DS_1","ZTORDGR_SMM","VALUEASTEXT")</f>
        <v/>
      </c>
    </row>
    <row r="6">
      <c r="B6" t="inlineStr">
        <is>
          <t>Расчёт планового КТГ</t>
        </is>
      </c>
      <c r="C6">
        <f>_xll.SAPGetVariable("DS_1","ZTPL_KTG_SMM01","VALUEASTEXT")</f>
        <v/>
      </c>
    </row>
    <row r="7">
      <c r="B7" t="inlineStr">
        <is>
          <t>Внебюджетные виды затрат</t>
        </is>
      </c>
      <c r="C7">
        <f>_xll.SAPGetVariable("DS_1","ZTTBPFK_SMM01","VALUEASTEXT")</f>
        <v/>
      </c>
    </row>
    <row r="8">
      <c r="B8" t="inlineStr">
        <is>
          <t>Заказы ЕТО</t>
        </is>
      </c>
      <c r="C8">
        <f>_xll.SAPGetVariable("DS_1","ZTTBPFK_SMM02","VALUEASTEXT")</f>
        <v/>
      </c>
    </row>
    <row r="9">
      <c r="B9" t="inlineStr">
        <is>
          <t>Балансовая единица</t>
        </is>
      </c>
      <c r="C9">
        <f>_xll.SAPGetVariable("DS_1","0COMP_CODE_MMA01","VALUE")</f>
        <v/>
      </c>
    </row>
    <row r="10">
      <c r="B10" t="inlineStr">
        <is>
          <t>Планирующий завод</t>
        </is>
      </c>
      <c r="C10">
        <f>_xll.SAPGetVariable("DS_1","0PLANT_MOM03","VALUE")</f>
        <v/>
      </c>
    </row>
    <row r="11">
      <c r="B11" t="inlineStr">
        <is>
          <t>Завод расположения</t>
        </is>
      </c>
      <c r="C11">
        <f>_xll.SAPGetVariable("DS_1","0PLANT_MOM02","VALUE")</f>
        <v/>
      </c>
    </row>
    <row r="12">
      <c r="B12" t="inlineStr">
        <is>
          <t>Группа планирования</t>
        </is>
      </c>
      <c r="C12">
        <f>_xll.SAPGetVariable("DS_1","0PMPLANGRP_MOM01","VALUE")</f>
        <v/>
      </c>
    </row>
    <row r="13">
      <c r="B13" t="inlineStr">
        <is>
          <t>Техническое место</t>
        </is>
      </c>
      <c r="C13">
        <f>_xll.SAPGetVariable("DS_1","0FUNCT_LOC_MOM01","VALUEASTEXT")</f>
        <v/>
      </c>
    </row>
    <row r="14">
      <c r="B14">
        <f>_xll.SAPGetDimensionInfo("DS_1","4ZTRCPMM06-IP_EQUIPMENT")</f>
        <v/>
      </c>
      <c r="C14">
        <f>_xll.SAPGetVariable("DS_1","0EQUIPMENT_MOM01","VALUE")</f>
        <v/>
      </c>
    </row>
    <row r="15">
      <c r="B15" t="inlineStr">
        <is>
          <t>Заказ / СГ ТОРО</t>
        </is>
      </c>
      <c r="C15">
        <f>_xll.SAPGetVariable("DS_1","ZTORDNW_MOM01","VALUEASTEXT")</f>
        <v/>
      </c>
    </row>
    <row r="16"/>
    <row r="17"/>
    <row r="18">
      <c r="B18" t="inlineStr">
        <is>
          <t>Балансовая единица</t>
        </is>
      </c>
      <c r="C18" t="inlineStr">
        <is>
          <t>МВЗ Группа МВЗ</t>
        </is>
      </c>
      <c r="D18" t="inlineStr">
        <is>
          <t>СПП-элемент Центр затрат для ремонтов</t>
        </is>
      </c>
      <c r="E18" t="inlineStr">
        <is>
          <t>СПП-элемент Причина инвестиций</t>
        </is>
      </c>
      <c r="F18" t="inlineStr">
        <is>
          <t>ЕО</t>
        </is>
      </c>
      <c r="H18" t="inlineStr">
        <is>
          <t>Гаражный номер</t>
        </is>
      </c>
      <c r="I18" t="inlineStr">
        <is>
          <t>Техническое место</t>
        </is>
      </c>
      <c r="K18" t="inlineStr">
        <is>
          <t>ЕО Дата ввода в эксплуатацию</t>
        </is>
      </c>
      <c r="L18" t="inlineStr">
        <is>
          <t>ЕО Плановая дата ввода в эксплуатацию</t>
        </is>
      </c>
      <c r="M18" t="inlineStr">
        <is>
          <t>ЕО Плановый срок вывода из эксплуатации</t>
        </is>
      </c>
      <c r="N18" t="inlineStr">
        <is>
          <t>Заказ</t>
        </is>
      </c>
      <c r="P18" t="inlineStr">
        <is>
          <t>Заказ Год утверждения</t>
        </is>
      </c>
      <c r="Q18" t="inlineStr">
        <is>
          <t>Заказ Базисный срок начала (дата)</t>
        </is>
      </c>
      <c r="R18" t="inlineStr">
        <is>
          <t>Заказ Базисный срок конца (дата)</t>
        </is>
      </c>
      <c r="S18" t="inlineStr">
        <is>
          <t>Заказ признак ХС/УСО/Комб</t>
        </is>
      </c>
      <c r="U18" t="inlineStr">
        <is>
          <t>Заказ Системный статус</t>
        </is>
      </c>
      <c r="V18" t="inlineStr">
        <is>
          <t>Заказ Пользовательский статус</t>
        </is>
      </c>
      <c r="W18" t="inlineStr">
        <is>
          <t>Операция заказа Рабочее место</t>
        </is>
      </c>
      <c r="X18" t="inlineStr">
        <is>
          <t>Заказ Вид заказа</t>
        </is>
      </c>
      <c r="Z18" t="inlineStr">
        <is>
          <t>Заказ Вид работы ТОРО</t>
        </is>
      </c>
      <c r="AB18" t="inlineStr">
        <is>
          <t>Заказ Место возникновения затрат</t>
        </is>
      </c>
      <c r="AC18" t="inlineStr">
        <is>
          <t>ЕО Место возникновения затрат</t>
        </is>
      </c>
      <c r="AD18" t="inlineStr">
        <is>
          <t>ЕО Марка заводская</t>
        </is>
      </c>
      <c r="AE18" t="inlineStr">
        <is>
          <t>Компонент Заказа/Заявки</t>
        </is>
      </c>
      <c r="AG18" t="inlineStr">
        <is>
          <t>Номер детали производителя</t>
        </is>
      </c>
      <c r="AH18" t="inlineStr">
        <is>
          <t>Компонент Заказа/Заявки Дата потребности</t>
        </is>
      </c>
      <c r="AI18" t="inlineStr">
        <is>
          <t>Компонент Заказа Дата утверждения потребности</t>
        </is>
      </c>
      <c r="AJ18" t="inlineStr">
        <is>
          <t>Компонент заказа Релевантность калькуляции</t>
        </is>
      </c>
      <c r="AL18" t="inlineStr">
        <is>
          <t>Компонент заказа Дата установки план цены МТР</t>
        </is>
      </c>
      <c r="AM18" t="inlineStr">
        <is>
          <t>Компонент Заказа Группа материалов</t>
        </is>
      </c>
      <c r="AO18" t="inlineStr">
        <is>
          <t>Компонент заказа Группа закупок</t>
        </is>
      </c>
      <c r="AQ18" t="inlineStr">
        <is>
          <t>Компонент Заказа Резерв./заявка</t>
        </is>
      </c>
      <c r="AR18" t="inlineStr">
        <is>
          <t>Компонент Заказа Срочная потребность</t>
        </is>
      </c>
      <c r="AS18" t="inlineStr">
        <is>
          <t>Компонент заказа Тип позиции</t>
        </is>
      </c>
      <c r="AU18" t="inlineStr">
        <is>
          <t>Заказ Завод, планирующий ТОРО</t>
        </is>
      </c>
      <c r="AV18" t="inlineStr">
        <is>
          <t>Заказ Группа планирования ТОРО</t>
        </is>
      </c>
      <c r="AX18" t="inlineStr">
        <is>
          <t>ЕО изготовитель</t>
        </is>
      </c>
      <c r="AY18" t="inlineStr">
        <is>
          <t>Компонент заказа изготовитель</t>
        </is>
      </c>
      <c r="AZ18" t="inlineStr">
        <is>
          <t>Стоимость МТР, План</t>
        </is>
      </c>
      <c r="BA18" t="inlineStr">
        <is>
          <t>Цена МТР, План</t>
        </is>
      </c>
      <c r="BB18" t="inlineStr">
        <is>
          <t>Количество МТР, План</t>
        </is>
      </c>
      <c r="BC18" t="inlineStr">
        <is>
          <t>Стоимость УСО, План</t>
        </is>
      </c>
      <c r="BD18" t="inlineStr">
        <is>
          <t>Стоимость МТР, Факт</t>
        </is>
      </c>
      <c r="BE18" t="inlineStr">
        <is>
          <t>Цена МТР, Факт</t>
        </is>
      </c>
      <c r="BF18" t="inlineStr">
        <is>
          <t>Количество МТР, Факт</t>
        </is>
      </c>
      <c r="BG18" t="inlineStr">
        <is>
          <t>Стоимость УСО, Факт</t>
        </is>
      </c>
      <c r="BH18" t="inlineStr">
        <is>
          <t>Стоимость услуг, Факт</t>
        </is>
      </c>
      <c r="BI18" t="inlineStr">
        <is>
          <t>Стоимость работ УСО по тарифу, Факт</t>
        </is>
      </c>
    </row>
    <row r="19">
      <c r="B19" t="inlineStr">
        <is>
          <t>АО "Полюс Вернинское"</t>
        </is>
      </c>
      <c r="C19" t="inlineStr">
        <is>
          <t>Бульдозеры</t>
        </is>
      </c>
      <c r="D19" t="inlineStr">
        <is>
          <t>Бульдозеры</t>
        </is>
      </c>
      <c r="E19" t="inlineStr">
        <is>
          <t>OPEX (ремонты и ТО)</t>
        </is>
      </c>
      <c r="F19" t="inlineStr">
        <is>
          <t>Бульдозер гусеничный D155A-5 №1412</t>
        </is>
      </c>
      <c r="G19" t="inlineStr">
        <is>
          <t>100000009144</t>
        </is>
      </c>
      <c r="H19" t="inlineStr">
        <is>
          <t>1412</t>
        </is>
      </c>
      <c r="I19" t="inlineStr">
        <is>
          <t>Бульдозер гусеничный D155A-5 №1412</t>
        </is>
      </c>
      <c r="J19" t="inlineStr">
        <is>
          <t>03-RUD-UVSP-BZ06</t>
        </is>
      </c>
      <c r="K19" t="inlineStr">
        <is>
          <t>01.06.2014</t>
        </is>
      </c>
      <c r="L19" t="inlineStr">
        <is>
          <t>#</t>
        </is>
      </c>
      <c r="M19" t="inlineStr">
        <is>
          <t>01.01.2028</t>
        </is>
      </c>
      <c r="N19" t="inlineStr">
        <is>
          <t>1102737659</t>
        </is>
      </c>
      <c r="O19" t="inlineStr">
        <is>
          <t>ТР электрооборудования D155A-5 №1412</t>
        </is>
      </c>
      <c r="P19" t="inlineStr">
        <is>
          <t>#</t>
        </is>
      </c>
      <c r="Q19" t="inlineStr">
        <is>
          <t>16.07.2027</t>
        </is>
      </c>
      <c r="R19" t="inlineStr">
        <is>
          <t>17.07.2027</t>
        </is>
      </c>
      <c r="S19" t="inlineStr">
        <is>
          <t>Хоз.способ</t>
        </is>
      </c>
      <c r="T19" t="inlineStr">
        <is>
          <t>XS</t>
        </is>
      </c>
      <c r="U19" t="inlineStr">
        <is>
          <t>ДМНП  ОТКР  ПКАЛ  ОБСЗ</t>
        </is>
      </c>
      <c r="V19" t="inlineStr">
        <is>
          <t>ПТОГ  СГГС  ГОД  МТРЦ</t>
        </is>
      </c>
      <c r="W19" t="inlineStr">
        <is>
          <t>Участок по ТОиР ТТ б</t>
        </is>
      </c>
      <c r="X19" t="inlineStr">
        <is>
          <t>APP1</t>
        </is>
      </c>
      <c r="Y19" t="inlineStr">
        <is>
          <t>ТОРО по ППР</t>
        </is>
      </c>
      <c r="Z19" t="inlineStr">
        <is>
          <t>Текущий ремонт</t>
        </is>
      </c>
      <c r="AA19" t="inlineStr">
        <is>
          <t>ТР</t>
        </is>
      </c>
      <c r="AB19" t="inlineStr">
        <is>
          <t>АТЦ_парк бульдозеров Komatsu D-155</t>
        </is>
      </c>
      <c r="AC19" t="inlineStr">
        <is>
          <t>АТЦ_парк бульдозеров Komatsu D-155</t>
        </is>
      </c>
      <c r="AD19" t="inlineStr">
        <is>
          <t>D155A-5</t>
        </is>
      </c>
      <c r="AE19" t="inlineStr">
        <is>
          <t>Батарея 6CT-210.4 LA Тюменский Медведь</t>
        </is>
      </c>
      <c r="AF19" t="inlineStr">
        <is>
          <t>1178494</t>
        </is>
      </c>
      <c r="AG19" t="inlineStr">
        <is>
          <t>#</t>
        </is>
      </c>
      <c r="AH19" t="inlineStr">
        <is>
          <t>16.07.2027</t>
        </is>
      </c>
      <c r="AI19" t="inlineStr">
        <is>
          <t>#</t>
        </is>
      </c>
      <c r="AJ19" t="inlineStr">
        <is>
          <t>X</t>
        </is>
      </c>
      <c r="AK19" t="inlineStr">
        <is>
          <t>Калькуляц.: 100% релеван.</t>
        </is>
      </c>
      <c r="AL19" t="inlineStr">
        <is>
          <t>02.07.2026</t>
        </is>
      </c>
      <c r="AM19" t="inlineStr">
        <is>
          <t>АКБ для ТС</t>
        </is>
      </c>
      <c r="AN19" t="inlineStr">
        <is>
          <t>2.8.04.3</t>
        </is>
      </c>
      <c r="AO19" t="inlineStr">
        <is>
          <t>3K9</t>
        </is>
      </c>
      <c r="AP19" t="inlineStr">
        <is>
          <t>Новикова Н.Е.</t>
        </is>
      </c>
      <c r="AQ19" t="inlineStr">
        <is>
          <t>Начиная с деблокир.</t>
        </is>
      </c>
      <c r="AR19" t="inlineStr">
        <is>
          <t>Не срочная потребнос</t>
        </is>
      </c>
      <c r="AS19" t="inlineStr">
        <is>
          <t>L</t>
        </is>
      </c>
      <c r="AT19" t="inlineStr">
        <is>
          <t>Складская позиция</t>
        </is>
      </c>
      <c r="AU19" t="inlineStr">
        <is>
          <t>АО «Развитие» Иркутс</t>
        </is>
      </c>
      <c r="AV19" t="inlineStr">
        <is>
          <t>7102/100</t>
        </is>
      </c>
      <c r="AW19" t="inlineStr">
        <is>
          <t>Механика</t>
        </is>
      </c>
      <c r="AX19" t="inlineStr">
        <is>
          <t>Komatsu</t>
        </is>
      </c>
      <c r="AY19" t="inlineStr">
        <is>
          <t>Тюменский медведь</t>
        </is>
      </c>
      <c r="AZ19" t="n">
        <v>21662.6</v>
      </c>
      <c r="BA19" t="n">
        <v>10831.3</v>
      </c>
      <c r="BB19" t="n">
        <v>2</v>
      </c>
      <c r="BC19" t="n">
        <v>0</v>
      </c>
      <c r="BD19" t="n">
        <v>0</v>
      </c>
      <c r="BF19" t="n">
        <v>0</v>
      </c>
      <c r="BG19" t="n">
        <v>0</v>
      </c>
      <c r="BH19" t="n">
        <v>0</v>
      </c>
    </row>
    <row r="20">
      <c r="B20" t="inlineStr">
        <is>
          <t>АО "Полюс Вернинское"</t>
        </is>
      </c>
      <c r="C20" t="inlineStr">
        <is>
          <t>Бульдозеры</t>
        </is>
      </c>
      <c r="D20" t="inlineStr">
        <is>
          <t>Бульдозеры</t>
        </is>
      </c>
      <c r="E20" t="inlineStr">
        <is>
          <t>OPEX (ремонты и ТО)</t>
        </is>
      </c>
      <c r="F20" t="inlineStr">
        <is>
          <t>Бульдозер гусеничный D155A-5 №1412</t>
        </is>
      </c>
      <c r="G20" t="inlineStr">
        <is>
          <t>100000009144</t>
        </is>
      </c>
      <c r="H20" t="inlineStr">
        <is>
          <t>1412</t>
        </is>
      </c>
      <c r="I20" t="inlineStr">
        <is>
          <t>Бульдозер гусеничный D155A-5 №1412</t>
        </is>
      </c>
      <c r="J20" t="inlineStr">
        <is>
          <t>03-RUD-UVSP-BZ06</t>
        </is>
      </c>
      <c r="K20" t="inlineStr">
        <is>
          <t>01.06.2014</t>
        </is>
      </c>
      <c r="L20" t="inlineStr">
        <is>
          <t>#</t>
        </is>
      </c>
      <c r="M20" t="inlineStr">
        <is>
          <t>01.01.2028</t>
        </is>
      </c>
      <c r="N20" t="inlineStr">
        <is>
          <t>1102737659</t>
        </is>
      </c>
      <c r="O20" t="inlineStr">
        <is>
          <t>ТР электрооборудования D155A-5 №1412</t>
        </is>
      </c>
      <c r="P20" t="inlineStr">
        <is>
          <t>#</t>
        </is>
      </c>
      <c r="Q20" t="inlineStr">
        <is>
          <t>16.07.2027</t>
        </is>
      </c>
      <c r="R20" t="inlineStr">
        <is>
          <t>17.07.2027</t>
        </is>
      </c>
      <c r="S20" t="inlineStr">
        <is>
          <t>Хоз.способ</t>
        </is>
      </c>
      <c r="T20" t="inlineStr">
        <is>
          <t>XS</t>
        </is>
      </c>
      <c r="U20" t="inlineStr">
        <is>
          <t>ДМНП  ОТКР  ПКАЛ  ОБСЗ</t>
        </is>
      </c>
      <c r="V20" t="inlineStr">
        <is>
          <t>ПТОГ  СГГС  ГОД  МТРЦ</t>
        </is>
      </c>
      <c r="W20" t="inlineStr">
        <is>
          <t>Участок по ТОиР ТТ б</t>
        </is>
      </c>
      <c r="X20" t="inlineStr">
        <is>
          <t>APP1</t>
        </is>
      </c>
      <c r="Y20" t="inlineStr">
        <is>
          <t>ТОРО по ППР</t>
        </is>
      </c>
      <c r="Z20" t="inlineStr">
        <is>
          <t>Текущий ремонт</t>
        </is>
      </c>
      <c r="AA20" t="inlineStr">
        <is>
          <t>ТР</t>
        </is>
      </c>
      <c r="AB20" t="inlineStr">
        <is>
          <t>АТЦ_парк бульдозеров Komatsu D-155</t>
        </is>
      </c>
      <c r="AC20" t="inlineStr">
        <is>
          <t>АТЦ_парк бульдозеров Komatsu D-155</t>
        </is>
      </c>
      <c r="AD20" t="inlineStr">
        <is>
          <t>D155A-5</t>
        </is>
      </c>
      <c r="AE20" t="inlineStr">
        <is>
          <t>Маяк СБ 08154-12400 Komatsu</t>
        </is>
      </c>
      <c r="AF20" t="inlineStr">
        <is>
          <t>622122</t>
        </is>
      </c>
      <c r="AG20" t="inlineStr">
        <is>
          <t>08154-12400</t>
        </is>
      </c>
      <c r="AH20" t="inlineStr">
        <is>
          <t>16.07.2027</t>
        </is>
      </c>
      <c r="AI20" t="inlineStr">
        <is>
          <t>#</t>
        </is>
      </c>
      <c r="AJ20" t="inlineStr">
        <is>
          <t>X</t>
        </is>
      </c>
      <c r="AK20" t="inlineStr">
        <is>
          <t>Калькуляц.: 100% релеван.</t>
        </is>
      </c>
      <c r="AL20" t="inlineStr">
        <is>
          <t>12.08.2026</t>
        </is>
      </c>
      <c r="AM20" t="inlineStr">
        <is>
          <t>Зап. к бульд.Komatsu</t>
        </is>
      </c>
      <c r="AN20" t="inlineStr">
        <is>
          <t>3.4.1.2</t>
        </is>
      </c>
      <c r="AO20" t="inlineStr">
        <is>
          <t>3I2</t>
        </is>
      </c>
      <c r="AP20" t="inlineStr">
        <is>
          <t>Полячкин Д.С.</t>
        </is>
      </c>
      <c r="AQ20" t="inlineStr">
        <is>
          <t>Начиная с деблокир.</t>
        </is>
      </c>
      <c r="AR20" t="inlineStr">
        <is>
          <t>Не срочная потребнос</t>
        </is>
      </c>
      <c r="AS20" t="inlineStr">
        <is>
          <t>L</t>
        </is>
      </c>
      <c r="AT20" t="inlineStr">
        <is>
          <t>Складская позиция</t>
        </is>
      </c>
      <c r="AU20" t="inlineStr">
        <is>
          <t>АО «Развитие» Иркутс</t>
        </is>
      </c>
      <c r="AV20" t="inlineStr">
        <is>
          <t>7102/100</t>
        </is>
      </c>
      <c r="AW20" t="inlineStr">
        <is>
          <t>Механика</t>
        </is>
      </c>
      <c r="AX20" t="inlineStr">
        <is>
          <t>Komatsu</t>
        </is>
      </c>
      <c r="AY20" t="inlineStr">
        <is>
          <t>Komatsu</t>
        </is>
      </c>
      <c r="AZ20" t="n">
        <v>21686.38</v>
      </c>
      <c r="BA20" t="n">
        <v>21686.38</v>
      </c>
      <c r="BB20" t="n">
        <v>1</v>
      </c>
      <c r="BC20" t="n">
        <v>0</v>
      </c>
      <c r="BD20" t="n">
        <v>0</v>
      </c>
      <c r="BF20" t="n">
        <v>0</v>
      </c>
      <c r="BG20" t="n">
        <v>0</v>
      </c>
      <c r="BH20" t="n">
        <v>0</v>
      </c>
    </row>
    <row r="21">
      <c r="B21" t="inlineStr">
        <is>
          <t>АО "Полюс Вернинское"</t>
        </is>
      </c>
      <c r="C21" t="inlineStr">
        <is>
          <t>Бульдозеры</t>
        </is>
      </c>
      <c r="D21" t="inlineStr">
        <is>
          <t>Бульдозеры</t>
        </is>
      </c>
      <c r="E21" t="inlineStr">
        <is>
          <t>OPEX (ремонты и ТО)</t>
        </is>
      </c>
      <c r="F21" t="inlineStr">
        <is>
          <t>Бульдозер гусеничный D155A-5 №1412</t>
        </is>
      </c>
      <c r="G21" t="inlineStr">
        <is>
          <t>100000009144</t>
        </is>
      </c>
      <c r="H21" t="inlineStr">
        <is>
          <t>1412</t>
        </is>
      </c>
      <c r="I21" t="inlineStr">
        <is>
          <t>Бульдозер гусеничный D155A-5 №1412</t>
        </is>
      </c>
      <c r="J21" t="inlineStr">
        <is>
          <t>03-RUD-UVSP-BZ06</t>
        </is>
      </c>
      <c r="K21" t="inlineStr">
        <is>
          <t>01.06.2014</t>
        </is>
      </c>
      <c r="L21" t="inlineStr">
        <is>
          <t>#</t>
        </is>
      </c>
      <c r="M21" t="inlineStr">
        <is>
          <t>01.01.2028</t>
        </is>
      </c>
      <c r="N21" t="inlineStr">
        <is>
          <t>1102737659</t>
        </is>
      </c>
      <c r="O21" t="inlineStr">
        <is>
          <t>ТР электрооборудования D155A-5 №1412</t>
        </is>
      </c>
      <c r="P21" t="inlineStr">
        <is>
          <t>#</t>
        </is>
      </c>
      <c r="Q21" t="inlineStr">
        <is>
          <t>16.07.2027</t>
        </is>
      </c>
      <c r="R21" t="inlineStr">
        <is>
          <t>17.07.2027</t>
        </is>
      </c>
      <c r="S21" t="inlineStr">
        <is>
          <t>Хоз.способ</t>
        </is>
      </c>
      <c r="T21" t="inlineStr">
        <is>
          <t>XS</t>
        </is>
      </c>
      <c r="U21" t="inlineStr">
        <is>
          <t>ДМНП  ОТКР  ПКАЛ  ОБСЗ</t>
        </is>
      </c>
      <c r="V21" t="inlineStr">
        <is>
          <t>ПТОГ  СГГС  ГОД  МТРЦ</t>
        </is>
      </c>
      <c r="W21" t="inlineStr">
        <is>
          <t>Участок по ТОиР ТТ б</t>
        </is>
      </c>
      <c r="X21" t="inlineStr">
        <is>
          <t>APP1</t>
        </is>
      </c>
      <c r="Y21" t="inlineStr">
        <is>
          <t>ТОРО по ППР</t>
        </is>
      </c>
      <c r="Z21" t="inlineStr">
        <is>
          <t>Текущий ремонт</t>
        </is>
      </c>
      <c r="AA21" t="inlineStr">
        <is>
          <t>ТР</t>
        </is>
      </c>
      <c r="AB21" t="inlineStr">
        <is>
          <t>АТЦ_парк бульдозеров Komatsu D-155</t>
        </is>
      </c>
      <c r="AC21" t="inlineStr">
        <is>
          <t>АТЦ_парк бульдозеров Komatsu D-155</t>
        </is>
      </c>
      <c r="AD21" t="inlineStr">
        <is>
          <t>D155A-5</t>
        </is>
      </c>
      <c r="AE21" t="inlineStr">
        <is>
          <t>Сигнал 175-06-41110 Komatsu</t>
        </is>
      </c>
      <c r="AF21" t="inlineStr">
        <is>
          <t>623696</t>
        </is>
      </c>
      <c r="AG21" t="inlineStr">
        <is>
          <t>175-06-41110</t>
        </is>
      </c>
      <c r="AH21" t="inlineStr">
        <is>
          <t>16.07.2027</t>
        </is>
      </c>
      <c r="AI21" t="inlineStr">
        <is>
          <t>#</t>
        </is>
      </c>
      <c r="AJ21" t="inlineStr">
        <is>
          <t>X</t>
        </is>
      </c>
      <c r="AK21" t="inlineStr">
        <is>
          <t>Калькуляц.: 100% релеван.</t>
        </is>
      </c>
      <c r="AL21" t="inlineStr">
        <is>
          <t>12.08.2026</t>
        </is>
      </c>
      <c r="AM21" t="inlineStr">
        <is>
          <t>Зап. к бульд.Komatsu</t>
        </is>
      </c>
      <c r="AN21" t="inlineStr">
        <is>
          <t>3.4.1.2</t>
        </is>
      </c>
      <c r="AO21" t="inlineStr">
        <is>
          <t>3I2</t>
        </is>
      </c>
      <c r="AP21" t="inlineStr">
        <is>
          <t>Полячкин Д.С.</t>
        </is>
      </c>
      <c r="AQ21" t="inlineStr">
        <is>
          <t>Начиная с деблокир.</t>
        </is>
      </c>
      <c r="AR21" t="inlineStr">
        <is>
          <t>Не срочная потребнос</t>
        </is>
      </c>
      <c r="AS21" t="inlineStr">
        <is>
          <t>L</t>
        </is>
      </c>
      <c r="AT21" t="inlineStr">
        <is>
          <t>Складская позиция</t>
        </is>
      </c>
      <c r="AU21" t="inlineStr">
        <is>
          <t>АО «Развитие» Иркутс</t>
        </is>
      </c>
      <c r="AV21" t="inlineStr">
        <is>
          <t>7102/100</t>
        </is>
      </c>
      <c r="AW21" t="inlineStr">
        <is>
          <t>Механика</t>
        </is>
      </c>
      <c r="AX21" t="inlineStr">
        <is>
          <t>Komatsu</t>
        </is>
      </c>
      <c r="AY21" t="inlineStr">
        <is>
          <t>Komatsu</t>
        </is>
      </c>
      <c r="AZ21" t="n">
        <v>7917.53</v>
      </c>
      <c r="BA21" t="n">
        <v>7917.53</v>
      </c>
      <c r="BB21" t="n">
        <v>1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</row>
    <row r="22">
      <c r="B22" t="inlineStr">
        <is>
          <t>АО "Полюс Вернинское"</t>
        </is>
      </c>
      <c r="C22" t="inlineStr">
        <is>
          <t>Бульдозеры</t>
        </is>
      </c>
      <c r="D22" t="inlineStr">
        <is>
          <t>Бульдозеры</t>
        </is>
      </c>
      <c r="E22" t="inlineStr">
        <is>
          <t>OPEX (ремонты и ТО)</t>
        </is>
      </c>
      <c r="F22" t="inlineStr">
        <is>
          <t>Бульдозер гусеничный D155A-5 №1412</t>
        </is>
      </c>
      <c r="G22" t="inlineStr">
        <is>
          <t>100000009144</t>
        </is>
      </c>
      <c r="H22" t="inlineStr">
        <is>
          <t>1412</t>
        </is>
      </c>
      <c r="I22" t="inlineStr">
        <is>
          <t>Бульдозер гусеничный D155A-5 №1412</t>
        </is>
      </c>
      <c r="J22" t="inlineStr">
        <is>
          <t>03-RUD-UVSP-BZ06</t>
        </is>
      </c>
      <c r="K22" t="inlineStr">
        <is>
          <t>01.06.2014</t>
        </is>
      </c>
      <c r="L22" t="inlineStr">
        <is>
          <t>#</t>
        </is>
      </c>
      <c r="M22" t="inlineStr">
        <is>
          <t>01.01.2028</t>
        </is>
      </c>
      <c r="N22" t="inlineStr">
        <is>
          <t>1102737659</t>
        </is>
      </c>
      <c r="O22" t="inlineStr">
        <is>
          <t>ТР электрооборудования D155A-5 №1412</t>
        </is>
      </c>
      <c r="P22" t="inlineStr">
        <is>
          <t>#</t>
        </is>
      </c>
      <c r="Q22" t="inlineStr">
        <is>
          <t>16.07.2027</t>
        </is>
      </c>
      <c r="R22" t="inlineStr">
        <is>
          <t>17.07.2027</t>
        </is>
      </c>
      <c r="S22" t="inlineStr">
        <is>
          <t>Хоз.способ</t>
        </is>
      </c>
      <c r="T22" t="inlineStr">
        <is>
          <t>XS</t>
        </is>
      </c>
      <c r="U22" t="inlineStr">
        <is>
          <t>ДМНП  ОТКР  ПКАЛ  ОБСЗ</t>
        </is>
      </c>
      <c r="V22" t="inlineStr">
        <is>
          <t>ПТОГ  СГГС  ГОД  МТРЦ</t>
        </is>
      </c>
      <c r="W22" t="inlineStr">
        <is>
          <t>Участок по ТОиР ТТ б</t>
        </is>
      </c>
      <c r="X22" t="inlineStr">
        <is>
          <t>APP1</t>
        </is>
      </c>
      <c r="Y22" t="inlineStr">
        <is>
          <t>ТОРО по ППР</t>
        </is>
      </c>
      <c r="Z22" t="inlineStr">
        <is>
          <t>Текущий ремонт</t>
        </is>
      </c>
      <c r="AA22" t="inlineStr">
        <is>
          <t>ТР</t>
        </is>
      </c>
      <c r="AB22" t="inlineStr">
        <is>
          <t>АТЦ_парк бульдозеров Komatsu D-155</t>
        </is>
      </c>
      <c r="AC22" t="inlineStr">
        <is>
          <t>АТЦ_парк бульдозеров Komatsu D-155</t>
        </is>
      </c>
      <c r="AD22" t="inlineStr">
        <is>
          <t>D155A-5</t>
        </is>
      </c>
      <c r="AE22" t="inlineStr">
        <is>
          <t>Фара светодиодная С32211324V Rigid</t>
        </is>
      </c>
      <c r="AF22" t="inlineStr">
        <is>
          <t>990948</t>
        </is>
      </c>
      <c r="AG22" t="inlineStr">
        <is>
          <t>C32211324V</t>
        </is>
      </c>
      <c r="AH22" t="inlineStr">
        <is>
          <t>16.07.2027</t>
        </is>
      </c>
      <c r="AI22" t="inlineStr">
        <is>
          <t>#</t>
        </is>
      </c>
      <c r="AJ22" t="inlineStr">
        <is>
          <t>X</t>
        </is>
      </c>
      <c r="AK22" t="inlineStr">
        <is>
          <t>Калькуляц.: 100% релеван.</t>
        </is>
      </c>
      <c r="AL22" t="inlineStr">
        <is>
          <t>02.07.2026</t>
        </is>
      </c>
      <c r="AM22" t="inlineStr">
        <is>
          <t>Издел. светотехнич.</t>
        </is>
      </c>
      <c r="AN22" t="inlineStr">
        <is>
          <t>2.8.10</t>
        </is>
      </c>
      <c r="AO22" t="inlineStr">
        <is>
          <t>3K9</t>
        </is>
      </c>
      <c r="AP22" t="inlineStr">
        <is>
          <t>Новикова Н.Е.</t>
        </is>
      </c>
      <c r="AQ22" t="inlineStr">
        <is>
          <t>Начиная с деблокир.</t>
        </is>
      </c>
      <c r="AR22" t="inlineStr">
        <is>
          <t>Не срочная потребнос</t>
        </is>
      </c>
      <c r="AS22" t="inlineStr">
        <is>
          <t>L</t>
        </is>
      </c>
      <c r="AT22" t="inlineStr">
        <is>
          <t>Складская позиция</t>
        </is>
      </c>
      <c r="AU22" t="inlineStr">
        <is>
          <t>АО «Развитие» Иркутс</t>
        </is>
      </c>
      <c r="AV22" t="inlineStr">
        <is>
          <t>7102/100</t>
        </is>
      </c>
      <c r="AW22" t="inlineStr">
        <is>
          <t>Механика</t>
        </is>
      </c>
      <c r="AX22" t="inlineStr">
        <is>
          <t>Komatsu</t>
        </is>
      </c>
      <c r="AY22" t="inlineStr">
        <is>
          <t>Rigid</t>
        </is>
      </c>
      <c r="AZ22" t="n">
        <v>92511.28</v>
      </c>
      <c r="BA22" t="n">
        <v>11563.91</v>
      </c>
      <c r="BB22" t="n">
        <v>8</v>
      </c>
      <c r="BC22" t="n">
        <v>0</v>
      </c>
      <c r="BD22" t="n">
        <v>0</v>
      </c>
      <c r="BF22" t="n">
        <v>0</v>
      </c>
      <c r="BG22" t="n">
        <v>0</v>
      </c>
      <c r="BH22" t="n">
        <v>0</v>
      </c>
    </row>
    <row r="23">
      <c r="B23" t="inlineStr">
        <is>
          <t>АО "Полюс Вернинское"</t>
        </is>
      </c>
      <c r="C23" t="inlineStr">
        <is>
          <t>Бульдозеры</t>
        </is>
      </c>
      <c r="D23" t="inlineStr">
        <is>
          <t>Бульдозеры</t>
        </is>
      </c>
      <c r="E23" t="inlineStr">
        <is>
          <t>OPEX (ремонты и ТО)</t>
        </is>
      </c>
      <c r="F23" t="inlineStr">
        <is>
          <t>Бульдозер гусеничный D155A-5 №1412</t>
        </is>
      </c>
      <c r="G23" t="inlineStr">
        <is>
          <t>100000009144</t>
        </is>
      </c>
      <c r="H23" t="inlineStr">
        <is>
          <t>1412</t>
        </is>
      </c>
      <c r="I23" t="inlineStr">
        <is>
          <t>Бульдозер гусеничный D155A-5 №1412</t>
        </is>
      </c>
      <c r="J23" t="inlineStr">
        <is>
          <t>03-RUD-UVSP-BZ06</t>
        </is>
      </c>
      <c r="K23" t="inlineStr">
        <is>
          <t>01.06.2014</t>
        </is>
      </c>
      <c r="L23" t="inlineStr">
        <is>
          <t>#</t>
        </is>
      </c>
      <c r="M23" t="inlineStr">
        <is>
          <t>01.01.2028</t>
        </is>
      </c>
      <c r="N23" t="inlineStr">
        <is>
          <t>1102737701</t>
        </is>
      </c>
      <c r="O23" t="inlineStr">
        <is>
          <t>ТР ходовая D155A-5 №1412</t>
        </is>
      </c>
      <c r="P23" t="inlineStr">
        <is>
          <t>#</t>
        </is>
      </c>
      <c r="Q23" t="inlineStr">
        <is>
          <t>18.08.2027</t>
        </is>
      </c>
      <c r="R23" t="inlineStr">
        <is>
          <t>19.08.2027</t>
        </is>
      </c>
      <c r="S23" t="inlineStr">
        <is>
          <t>Хоз.способ</t>
        </is>
      </c>
      <c r="T23" t="inlineStr">
        <is>
          <t>XS</t>
        </is>
      </c>
      <c r="U23" t="inlineStr">
        <is>
          <t>ДМНП  ОТКР  ПКАЛ  ОБСЗ</t>
        </is>
      </c>
      <c r="V23" t="inlineStr">
        <is>
          <t>ПТОГ  СГГС  ГОД  МТРЦ</t>
        </is>
      </c>
      <c r="W23" t="inlineStr">
        <is>
          <t>Участок по ТОиР ТТ б</t>
        </is>
      </c>
      <c r="X23" t="inlineStr">
        <is>
          <t>APP1</t>
        </is>
      </c>
      <c r="Y23" t="inlineStr">
        <is>
          <t>ТОРО по ППР</t>
        </is>
      </c>
      <c r="Z23" t="inlineStr">
        <is>
          <t>Текущий ремонт</t>
        </is>
      </c>
      <c r="AA23" t="inlineStr">
        <is>
          <t>ТР</t>
        </is>
      </c>
      <c r="AB23" t="inlineStr">
        <is>
          <t>АТЦ_парк бульдозеров Komatsu D-155</t>
        </is>
      </c>
      <c r="AC23" t="inlineStr">
        <is>
          <t>АТЦ_парк бульдозеров Komatsu D-155</t>
        </is>
      </c>
      <c r="AD23" t="inlineStr">
        <is>
          <t>D155A-5</t>
        </is>
      </c>
      <c r="AE23" t="inlineStr">
        <is>
          <t>Болт 178-27-11150 Komatsu</t>
        </is>
      </c>
      <c r="AF23" t="inlineStr">
        <is>
          <t>621773</t>
        </is>
      </c>
      <c r="AG23" t="inlineStr">
        <is>
          <t>178-27-11150</t>
        </is>
      </c>
      <c r="AH23" t="inlineStr">
        <is>
          <t>18.08.2027</t>
        </is>
      </c>
      <c r="AI23" t="inlineStr">
        <is>
          <t>#</t>
        </is>
      </c>
      <c r="AJ23" t="inlineStr">
        <is>
          <t>X</t>
        </is>
      </c>
      <c r="AK23" t="inlineStr">
        <is>
          <t>Калькуляц.: 100% релеван.</t>
        </is>
      </c>
      <c r="AL23" t="inlineStr">
        <is>
          <t>12.08.2026</t>
        </is>
      </c>
      <c r="AM23" t="inlineStr">
        <is>
          <t>Элем.ход.сис.гус.тех</t>
        </is>
      </c>
      <c r="AN23" t="inlineStr">
        <is>
          <t>3.19.4</t>
        </is>
      </c>
      <c r="AO23" t="inlineStr">
        <is>
          <t>3H3</t>
        </is>
      </c>
      <c r="AP23" t="inlineStr">
        <is>
          <t>Риттер И.В.</t>
        </is>
      </c>
      <c r="AQ23" t="inlineStr">
        <is>
          <t>Начиная с деблокир.</t>
        </is>
      </c>
      <c r="AR23" t="inlineStr">
        <is>
          <t>Не срочная потребнос</t>
        </is>
      </c>
      <c r="AS23" t="inlineStr">
        <is>
          <t>L</t>
        </is>
      </c>
      <c r="AT23" t="inlineStr">
        <is>
          <t>Складская позиция</t>
        </is>
      </c>
      <c r="AU23" t="inlineStr">
        <is>
          <t>АО «Развитие» Иркутс</t>
        </is>
      </c>
      <c r="AV23" t="inlineStr">
        <is>
          <t>7102/100</t>
        </is>
      </c>
      <c r="AW23" t="inlineStr">
        <is>
          <t>Механика</t>
        </is>
      </c>
      <c r="AX23" t="inlineStr">
        <is>
          <t>Komatsu</t>
        </is>
      </c>
      <c r="AY23" t="inlineStr">
        <is>
          <t>Komatsu</t>
        </is>
      </c>
      <c r="AZ23" t="n">
        <v>20502.72</v>
      </c>
      <c r="BA23" t="n">
        <v>379.68</v>
      </c>
      <c r="BB23" t="n">
        <v>54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</row>
    <row r="24">
      <c r="B24" t="inlineStr">
        <is>
          <t>АО "Полюс Вернинское"</t>
        </is>
      </c>
      <c r="C24" t="inlineStr">
        <is>
          <t>Бульдозеры</t>
        </is>
      </c>
      <c r="D24" t="inlineStr">
        <is>
          <t>Бульдозеры</t>
        </is>
      </c>
      <c r="E24" t="inlineStr">
        <is>
          <t>OPEX (ремонты и ТО)</t>
        </is>
      </c>
      <c r="F24" t="inlineStr">
        <is>
          <t>Бульдозер гусеничный D155A-5 №1412</t>
        </is>
      </c>
      <c r="G24" t="inlineStr">
        <is>
          <t>100000009144</t>
        </is>
      </c>
      <c r="H24" t="inlineStr">
        <is>
          <t>1412</t>
        </is>
      </c>
      <c r="I24" t="inlineStr">
        <is>
          <t>Бульдозер гусеничный D155A-5 №1412</t>
        </is>
      </c>
      <c r="J24" t="inlineStr">
        <is>
          <t>03-RUD-UVSP-BZ06</t>
        </is>
      </c>
      <c r="K24" t="inlineStr">
        <is>
          <t>01.06.2014</t>
        </is>
      </c>
      <c r="L24" t="inlineStr">
        <is>
          <t>#</t>
        </is>
      </c>
      <c r="M24" t="inlineStr">
        <is>
          <t>01.01.2028</t>
        </is>
      </c>
      <c r="N24" t="inlineStr">
        <is>
          <t>1102737701</t>
        </is>
      </c>
      <c r="O24" t="inlineStr">
        <is>
          <t>ТР ходовая D155A-5 №1412</t>
        </is>
      </c>
      <c r="P24" t="inlineStr">
        <is>
          <t>#</t>
        </is>
      </c>
      <c r="Q24" t="inlineStr">
        <is>
          <t>18.08.2027</t>
        </is>
      </c>
      <c r="R24" t="inlineStr">
        <is>
          <t>19.08.2027</t>
        </is>
      </c>
      <c r="S24" t="inlineStr">
        <is>
          <t>Хоз.способ</t>
        </is>
      </c>
      <c r="T24" t="inlineStr">
        <is>
          <t>XS</t>
        </is>
      </c>
      <c r="U24" t="inlineStr">
        <is>
          <t>ДМНП  ОТКР  ПКАЛ  ОБСЗ</t>
        </is>
      </c>
      <c r="V24" t="inlineStr">
        <is>
          <t>ПТОГ  СГГС  ГОД  МТРЦ</t>
        </is>
      </c>
      <c r="W24" t="inlineStr">
        <is>
          <t>Участок по ТОиР ТТ б</t>
        </is>
      </c>
      <c r="X24" t="inlineStr">
        <is>
          <t>APP1</t>
        </is>
      </c>
      <c r="Y24" t="inlineStr">
        <is>
          <t>ТОРО по ППР</t>
        </is>
      </c>
      <c r="Z24" t="inlineStr">
        <is>
          <t>Текущий ремонт</t>
        </is>
      </c>
      <c r="AA24" t="inlineStr">
        <is>
          <t>ТР</t>
        </is>
      </c>
      <c r="AB24" t="inlineStr">
        <is>
          <t>АТЦ_парк бульдозеров Komatsu D-155</t>
        </is>
      </c>
      <c r="AC24" t="inlineStr">
        <is>
          <t>АТЦ_парк бульдозеров Komatsu D-155</t>
        </is>
      </c>
      <c r="AD24" t="inlineStr">
        <is>
          <t>D155A-5</t>
        </is>
      </c>
      <c r="AE24" t="inlineStr">
        <is>
          <t>Втулка 07143-10707 Komatsu</t>
        </is>
      </c>
      <c r="AF24" t="inlineStr">
        <is>
          <t>734979</t>
        </is>
      </c>
      <c r="AG24" t="inlineStr">
        <is>
          <t>07143-10707</t>
        </is>
      </c>
      <c r="AH24" t="inlineStr">
        <is>
          <t>18.08.2027</t>
        </is>
      </c>
      <c r="AI24" t="inlineStr">
        <is>
          <t>#</t>
        </is>
      </c>
      <c r="AJ24" t="inlineStr">
        <is>
          <t>X</t>
        </is>
      </c>
      <c r="AK24" t="inlineStr">
        <is>
          <t>Калькуляц.: 100% релеван.</t>
        </is>
      </c>
      <c r="AL24" t="inlineStr">
        <is>
          <t>12.08.2026</t>
        </is>
      </c>
      <c r="AM24" t="inlineStr">
        <is>
          <t>Зап. экск. Komatsu</t>
        </is>
      </c>
      <c r="AN24" t="inlineStr">
        <is>
          <t>3.1.2.1</t>
        </is>
      </c>
      <c r="AO24" t="inlineStr">
        <is>
          <t>3I2</t>
        </is>
      </c>
      <c r="AP24" t="inlineStr">
        <is>
          <t>Полячкин Д.С.</t>
        </is>
      </c>
      <c r="AQ24" t="inlineStr">
        <is>
          <t>Начиная с деблокир.</t>
        </is>
      </c>
      <c r="AR24" t="inlineStr">
        <is>
          <t>Не срочная потребнос</t>
        </is>
      </c>
      <c r="AS24" t="inlineStr">
        <is>
          <t>L</t>
        </is>
      </c>
      <c r="AT24" t="inlineStr">
        <is>
          <t>Складская позиция</t>
        </is>
      </c>
      <c r="AU24" t="inlineStr">
        <is>
          <t>АО «Развитие» Иркутс</t>
        </is>
      </c>
      <c r="AV24" t="inlineStr">
        <is>
          <t>7102/100</t>
        </is>
      </c>
      <c r="AW24" t="inlineStr">
        <is>
          <t>Механика</t>
        </is>
      </c>
      <c r="AX24" t="inlineStr">
        <is>
          <t>Komatsu</t>
        </is>
      </c>
      <c r="AY24" t="inlineStr">
        <is>
          <t>Komatsu</t>
        </is>
      </c>
      <c r="AZ24" t="n">
        <v>32342.86</v>
      </c>
      <c r="BA24" t="n">
        <v>16171.43</v>
      </c>
      <c r="BB24" t="n">
        <v>2</v>
      </c>
      <c r="BC24" t="n">
        <v>0</v>
      </c>
      <c r="BD24" t="n">
        <v>0</v>
      </c>
      <c r="BF24" t="n">
        <v>0</v>
      </c>
      <c r="BG24" t="n">
        <v>0</v>
      </c>
      <c r="BH24" t="n">
        <v>0</v>
      </c>
    </row>
    <row r="25">
      <c r="B25" t="inlineStr">
        <is>
          <t>АО "Полюс Вернинское"</t>
        </is>
      </c>
      <c r="C25" t="inlineStr">
        <is>
          <t>Бульдозеры</t>
        </is>
      </c>
      <c r="D25" t="inlineStr">
        <is>
          <t>Бульдозеры</t>
        </is>
      </c>
      <c r="E25" t="inlineStr">
        <is>
          <t>OPEX (ремонты и ТО)</t>
        </is>
      </c>
      <c r="F25" t="inlineStr">
        <is>
          <t>Бульдозер гусеничный D155A-5 №1412</t>
        </is>
      </c>
      <c r="G25" t="inlineStr">
        <is>
          <t>100000009144</t>
        </is>
      </c>
      <c r="H25" t="inlineStr">
        <is>
          <t>1412</t>
        </is>
      </c>
      <c r="I25" t="inlineStr">
        <is>
          <t>Бульдозер гусеничный D155A-5 №1412</t>
        </is>
      </c>
      <c r="J25" t="inlineStr">
        <is>
          <t>03-RUD-UVSP-BZ06</t>
        </is>
      </c>
      <c r="K25" t="inlineStr">
        <is>
          <t>01.06.2014</t>
        </is>
      </c>
      <c r="L25" t="inlineStr">
        <is>
          <t>#</t>
        </is>
      </c>
      <c r="M25" t="inlineStr">
        <is>
          <t>01.01.2028</t>
        </is>
      </c>
      <c r="N25" t="inlineStr">
        <is>
          <t>1102737701</t>
        </is>
      </c>
      <c r="O25" t="inlineStr">
        <is>
          <t>ТР ходовая D155A-5 №1412</t>
        </is>
      </c>
      <c r="P25" t="inlineStr">
        <is>
          <t>#</t>
        </is>
      </c>
      <c r="Q25" t="inlineStr">
        <is>
          <t>18.08.2027</t>
        </is>
      </c>
      <c r="R25" t="inlineStr">
        <is>
          <t>19.08.2027</t>
        </is>
      </c>
      <c r="S25" t="inlineStr">
        <is>
          <t>Хоз.способ</t>
        </is>
      </c>
      <c r="T25" t="inlineStr">
        <is>
          <t>XS</t>
        </is>
      </c>
      <c r="U25" t="inlineStr">
        <is>
          <t>ДМНП  ОТКР  ПКАЛ  ОБСЗ</t>
        </is>
      </c>
      <c r="V25" t="inlineStr">
        <is>
          <t>ПТОГ  СГГС  ГОД  МТРЦ</t>
        </is>
      </c>
      <c r="W25" t="inlineStr">
        <is>
          <t>Участок по ТОиР ТТ б</t>
        </is>
      </c>
      <c r="X25" t="inlineStr">
        <is>
          <t>APP1</t>
        </is>
      </c>
      <c r="Y25" t="inlineStr">
        <is>
          <t>ТОРО по ППР</t>
        </is>
      </c>
      <c r="Z25" t="inlineStr">
        <is>
          <t>Текущий ремонт</t>
        </is>
      </c>
      <c r="AA25" t="inlineStr">
        <is>
          <t>ТР</t>
        </is>
      </c>
      <c r="AB25" t="inlineStr">
        <is>
          <t>АТЦ_парк бульдозеров Komatsu D-155</t>
        </is>
      </c>
      <c r="AC25" t="inlineStr">
        <is>
          <t>АТЦ_парк бульдозеров Komatsu D-155</t>
        </is>
      </c>
      <c r="AD25" t="inlineStr">
        <is>
          <t>D155A-5</t>
        </is>
      </c>
      <c r="AE25" t="inlineStr">
        <is>
          <t>Втулка 17A-30-14232 Komatsu</t>
        </is>
      </c>
      <c r="AF25" t="inlineStr">
        <is>
          <t>734977</t>
        </is>
      </c>
      <c r="AG25" t="inlineStr">
        <is>
          <t>17A-30-14232</t>
        </is>
      </c>
      <c r="AH25" t="inlineStr">
        <is>
          <t>18.08.2027</t>
        </is>
      </c>
      <c r="AI25" t="inlineStr">
        <is>
          <t>#</t>
        </is>
      </c>
      <c r="AJ25" t="inlineStr">
        <is>
          <t>X</t>
        </is>
      </c>
      <c r="AK25" t="inlineStr">
        <is>
          <t>Калькуляц.: 100% релеван.</t>
        </is>
      </c>
      <c r="AL25" t="inlineStr">
        <is>
          <t>12.08.2026</t>
        </is>
      </c>
      <c r="AM25" t="inlineStr">
        <is>
          <t>Зап. экск. Komatsu</t>
        </is>
      </c>
      <c r="AN25" t="inlineStr">
        <is>
          <t>3.1.2.1</t>
        </is>
      </c>
      <c r="AO25" t="inlineStr">
        <is>
          <t>3I2</t>
        </is>
      </c>
      <c r="AP25" t="inlineStr">
        <is>
          <t>Полячкин Д.С.</t>
        </is>
      </c>
      <c r="AQ25" t="inlineStr">
        <is>
          <t>Начиная с деблокир.</t>
        </is>
      </c>
      <c r="AR25" t="inlineStr">
        <is>
          <t>Не срочная потребнос</t>
        </is>
      </c>
      <c r="AS25" t="inlineStr">
        <is>
          <t>L</t>
        </is>
      </c>
      <c r="AT25" t="inlineStr">
        <is>
          <t>Складская позиция</t>
        </is>
      </c>
      <c r="AU25" t="inlineStr">
        <is>
          <t>АО «Развитие» Иркутс</t>
        </is>
      </c>
      <c r="AV25" t="inlineStr">
        <is>
          <t>7102/100</t>
        </is>
      </c>
      <c r="AW25" t="inlineStr">
        <is>
          <t>Механика</t>
        </is>
      </c>
      <c r="AX25" t="inlineStr">
        <is>
          <t>Komatsu</t>
        </is>
      </c>
      <c r="AY25" t="inlineStr">
        <is>
          <t>Komatsu</t>
        </is>
      </c>
      <c r="AZ25" t="n">
        <v>215203.44</v>
      </c>
      <c r="BA25" t="n">
        <v>26900.43</v>
      </c>
      <c r="BB25" t="n">
        <v>8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</row>
    <row r="26">
      <c r="B26" t="inlineStr">
        <is>
          <t>АО "Полюс Вернинское"</t>
        </is>
      </c>
      <c r="C26" t="inlineStr">
        <is>
          <t>Бульдозеры</t>
        </is>
      </c>
      <c r="D26" t="inlineStr">
        <is>
          <t>Бульдозеры</t>
        </is>
      </c>
      <c r="E26" t="inlineStr">
        <is>
          <t>OPEX (ремонты и ТО)</t>
        </is>
      </c>
      <c r="F26" t="inlineStr">
        <is>
          <t>Бульдозер гусеничный D155A-5 №1412</t>
        </is>
      </c>
      <c r="G26" t="inlineStr">
        <is>
          <t>100000009144</t>
        </is>
      </c>
      <c r="H26" t="inlineStr">
        <is>
          <t>1412</t>
        </is>
      </c>
      <c r="I26" t="inlineStr">
        <is>
          <t>Бульдозер гусеничный D155A-5 №1412</t>
        </is>
      </c>
      <c r="J26" t="inlineStr">
        <is>
          <t>03-RUD-UVSP-BZ06</t>
        </is>
      </c>
      <c r="K26" t="inlineStr">
        <is>
          <t>01.06.2014</t>
        </is>
      </c>
      <c r="L26" t="inlineStr">
        <is>
          <t>#</t>
        </is>
      </c>
      <c r="M26" t="inlineStr">
        <is>
          <t>01.01.2028</t>
        </is>
      </c>
      <c r="N26" t="inlineStr">
        <is>
          <t>1102737701</t>
        </is>
      </c>
      <c r="O26" t="inlineStr">
        <is>
          <t>ТР ходовая D155A-5 №1412</t>
        </is>
      </c>
      <c r="P26" t="inlineStr">
        <is>
          <t>#</t>
        </is>
      </c>
      <c r="Q26" t="inlineStr">
        <is>
          <t>18.08.2027</t>
        </is>
      </c>
      <c r="R26" t="inlineStr">
        <is>
          <t>19.08.2027</t>
        </is>
      </c>
      <c r="S26" t="inlineStr">
        <is>
          <t>Хоз.способ</t>
        </is>
      </c>
      <c r="T26" t="inlineStr">
        <is>
          <t>XS</t>
        </is>
      </c>
      <c r="U26" t="inlineStr">
        <is>
          <t>ДМНП  ОТКР  ПКАЛ  ОБСЗ</t>
        </is>
      </c>
      <c r="V26" t="inlineStr">
        <is>
          <t>ПТОГ  СГГС  ГОД  МТРЦ</t>
        </is>
      </c>
      <c r="W26" t="inlineStr">
        <is>
          <t>Участок по ТОиР ТТ б</t>
        </is>
      </c>
      <c r="X26" t="inlineStr">
        <is>
          <t>APP1</t>
        </is>
      </c>
      <c r="Y26" t="inlineStr">
        <is>
          <t>ТОРО по ППР</t>
        </is>
      </c>
      <c r="Z26" t="inlineStr">
        <is>
          <t>Текущий ремонт</t>
        </is>
      </c>
      <c r="AA26" t="inlineStr">
        <is>
          <t>ТР</t>
        </is>
      </c>
      <c r="AB26" t="inlineStr">
        <is>
          <t>АТЦ_парк бульдозеров Komatsu D-155</t>
        </is>
      </c>
      <c r="AC26" t="inlineStr">
        <is>
          <t>АТЦ_парк бульдозеров Komatsu D-155</t>
        </is>
      </c>
      <c r="AD26" t="inlineStr">
        <is>
          <t>D155A-5</t>
        </is>
      </c>
      <c r="AE26" t="inlineStr">
        <is>
          <t>Втулка 17A-50-11120 Komatsu</t>
        </is>
      </c>
      <c r="AF26" t="inlineStr">
        <is>
          <t>617500</t>
        </is>
      </c>
      <c r="AG26" t="inlineStr">
        <is>
          <t>17A-50-11120</t>
        </is>
      </c>
      <c r="AH26" t="inlineStr">
        <is>
          <t>18.08.2027</t>
        </is>
      </c>
      <c r="AI26" t="inlineStr">
        <is>
          <t>#</t>
        </is>
      </c>
      <c r="AJ26" t="inlineStr">
        <is>
          <t>X</t>
        </is>
      </c>
      <c r="AK26" t="inlineStr">
        <is>
          <t>Калькуляц.: 100% релеван.</t>
        </is>
      </c>
      <c r="AL26" t="inlineStr">
        <is>
          <t>12.08.2026</t>
        </is>
      </c>
      <c r="AM26" t="inlineStr">
        <is>
          <t>Зап. к бульд.Komatsu</t>
        </is>
      </c>
      <c r="AN26" t="inlineStr">
        <is>
          <t>3.4.1.2</t>
        </is>
      </c>
      <c r="AO26" t="inlineStr">
        <is>
          <t>3I2</t>
        </is>
      </c>
      <c r="AP26" t="inlineStr">
        <is>
          <t>Полячкин Д.С.</t>
        </is>
      </c>
      <c r="AQ26" t="inlineStr">
        <is>
          <t>Начиная с деблокир.</t>
        </is>
      </c>
      <c r="AR26" t="inlineStr">
        <is>
          <t>Не срочная потребнос</t>
        </is>
      </c>
      <c r="AS26" t="inlineStr">
        <is>
          <t>L</t>
        </is>
      </c>
      <c r="AT26" t="inlineStr">
        <is>
          <t>Складская позиция</t>
        </is>
      </c>
      <c r="AU26" t="inlineStr">
        <is>
          <t>АО «Развитие» Иркутс</t>
        </is>
      </c>
      <c r="AV26" t="inlineStr">
        <is>
          <t>7102/100</t>
        </is>
      </c>
      <c r="AW26" t="inlineStr">
        <is>
          <t>Механика</t>
        </is>
      </c>
      <c r="AX26" t="inlineStr">
        <is>
          <t>Komatsu</t>
        </is>
      </c>
      <c r="AY26" t="inlineStr">
        <is>
          <t>Komatsu</t>
        </is>
      </c>
      <c r="AZ26" t="n">
        <v>74321.16</v>
      </c>
      <c r="BA26" t="n">
        <v>37160.58</v>
      </c>
      <c r="BB26" t="n">
        <v>2</v>
      </c>
      <c r="BC26" t="n">
        <v>0</v>
      </c>
      <c r="BD26" t="n">
        <v>0</v>
      </c>
      <c r="BF26" t="n">
        <v>0</v>
      </c>
      <c r="BG26" t="n">
        <v>0</v>
      </c>
      <c r="BH26" t="n">
        <v>0</v>
      </c>
    </row>
    <row r="27">
      <c r="B27" t="inlineStr">
        <is>
          <t>АО "Полюс Вернинское"</t>
        </is>
      </c>
      <c r="C27" t="inlineStr">
        <is>
          <t>Бульдозеры</t>
        </is>
      </c>
      <c r="D27" t="inlineStr">
        <is>
          <t>Бульдозеры</t>
        </is>
      </c>
      <c r="E27" t="inlineStr">
        <is>
          <t>OPEX (ремонты и ТО)</t>
        </is>
      </c>
      <c r="F27" t="inlineStr">
        <is>
          <t>Бульдозер гусеничный D155A-5 №1412</t>
        </is>
      </c>
      <c r="G27" t="inlineStr">
        <is>
          <t>100000009144</t>
        </is>
      </c>
      <c r="H27" t="inlineStr">
        <is>
          <t>1412</t>
        </is>
      </c>
      <c r="I27" t="inlineStr">
        <is>
          <t>Бульдозер гусеничный D155A-5 №1412</t>
        </is>
      </c>
      <c r="J27" t="inlineStr">
        <is>
          <t>03-RUD-UVSP-BZ06</t>
        </is>
      </c>
      <c r="K27" t="inlineStr">
        <is>
          <t>01.06.2014</t>
        </is>
      </c>
      <c r="L27" t="inlineStr">
        <is>
          <t>#</t>
        </is>
      </c>
      <c r="M27" t="inlineStr">
        <is>
          <t>01.01.2028</t>
        </is>
      </c>
      <c r="N27" t="inlineStr">
        <is>
          <t>1102737701</t>
        </is>
      </c>
      <c r="O27" t="inlineStr">
        <is>
          <t>ТР ходовая D155A-5 №1412</t>
        </is>
      </c>
      <c r="P27" t="inlineStr">
        <is>
          <t>#</t>
        </is>
      </c>
      <c r="Q27" t="inlineStr">
        <is>
          <t>18.08.2027</t>
        </is>
      </c>
      <c r="R27" t="inlineStr">
        <is>
          <t>19.08.2027</t>
        </is>
      </c>
      <c r="S27" t="inlineStr">
        <is>
          <t>Хоз.способ</t>
        </is>
      </c>
      <c r="T27" t="inlineStr">
        <is>
          <t>XS</t>
        </is>
      </c>
      <c r="U27" t="inlineStr">
        <is>
          <t>ДМНП  ОТКР  ПКАЛ  ОБСЗ</t>
        </is>
      </c>
      <c r="V27" t="inlineStr">
        <is>
          <t>ПТОГ  СГГС  ГОД  МТРЦ</t>
        </is>
      </c>
      <c r="W27" t="inlineStr">
        <is>
          <t>Участок по ТОиР ТТ б</t>
        </is>
      </c>
      <c r="X27" t="inlineStr">
        <is>
          <t>APP1</t>
        </is>
      </c>
      <c r="Y27" t="inlineStr">
        <is>
          <t>ТОРО по ППР</t>
        </is>
      </c>
      <c r="Z27" t="inlineStr">
        <is>
          <t>Текущий ремонт</t>
        </is>
      </c>
      <c r="AA27" t="inlineStr">
        <is>
          <t>ТР</t>
        </is>
      </c>
      <c r="AB27" t="inlineStr">
        <is>
          <t>АТЦ_парк бульдозеров Komatsu D-155</t>
        </is>
      </c>
      <c r="AC27" t="inlineStr">
        <is>
          <t>АТЦ_парк бульдозеров Komatsu D-155</t>
        </is>
      </c>
      <c r="AD27" t="inlineStr">
        <is>
          <t>D155A-5</t>
        </is>
      </c>
      <c r="AE27" t="inlineStr">
        <is>
          <t>Втулка 17A-50-11130 Komatsu</t>
        </is>
      </c>
      <c r="AF27" t="inlineStr">
        <is>
          <t>830618</t>
        </is>
      </c>
      <c r="AG27" t="inlineStr">
        <is>
          <t>17A-50-11130</t>
        </is>
      </c>
      <c r="AH27" t="inlineStr">
        <is>
          <t>18.08.2027</t>
        </is>
      </c>
      <c r="AI27" t="inlineStr">
        <is>
          <t>#</t>
        </is>
      </c>
      <c r="AJ27" t="inlineStr">
        <is>
          <t>X</t>
        </is>
      </c>
      <c r="AK27" t="inlineStr">
        <is>
          <t>Калькуляц.: 100% релеван.</t>
        </is>
      </c>
      <c r="AL27" t="inlineStr">
        <is>
          <t>12.08.2026</t>
        </is>
      </c>
      <c r="AM27" t="inlineStr">
        <is>
          <t>Зап. к бульд.Komatsu</t>
        </is>
      </c>
      <c r="AN27" t="inlineStr">
        <is>
          <t>3.4.1.2</t>
        </is>
      </c>
      <c r="AO27" t="inlineStr">
        <is>
          <t>3I2</t>
        </is>
      </c>
      <c r="AP27" t="inlineStr">
        <is>
          <t>Полячкин Д.С.</t>
        </is>
      </c>
      <c r="AQ27" t="inlineStr">
        <is>
          <t>Начиная с деблокир.</t>
        </is>
      </c>
      <c r="AR27" t="inlineStr">
        <is>
          <t>Не срочная потребнос</t>
        </is>
      </c>
      <c r="AS27" t="inlineStr">
        <is>
          <t>L</t>
        </is>
      </c>
      <c r="AT27" t="inlineStr">
        <is>
          <t>Складская позиция</t>
        </is>
      </c>
      <c r="AU27" t="inlineStr">
        <is>
          <t>АО «Развитие» Иркутс</t>
        </is>
      </c>
      <c r="AV27" t="inlineStr">
        <is>
          <t>7102/100</t>
        </is>
      </c>
      <c r="AW27" t="inlineStr">
        <is>
          <t>Механика</t>
        </is>
      </c>
      <c r="AX27" t="inlineStr">
        <is>
          <t>Komatsu</t>
        </is>
      </c>
      <c r="AY27" t="inlineStr">
        <is>
          <t>Komatsu</t>
        </is>
      </c>
      <c r="AZ27" t="n">
        <v>82728.89999999999</v>
      </c>
      <c r="BA27" t="n">
        <v>41364.45</v>
      </c>
      <c r="BB27" t="n">
        <v>2</v>
      </c>
      <c r="BC27" t="n">
        <v>0</v>
      </c>
      <c r="BD27" t="n">
        <v>0</v>
      </c>
      <c r="BF27" t="n">
        <v>0</v>
      </c>
      <c r="BG27" t="n">
        <v>0</v>
      </c>
      <c r="BH27" t="n">
        <v>0</v>
      </c>
    </row>
    <row r="28">
      <c r="B28" t="inlineStr">
        <is>
          <t>АО "Полюс Вернинское"</t>
        </is>
      </c>
      <c r="C28" t="inlineStr">
        <is>
          <t>Бульдозеры</t>
        </is>
      </c>
      <c r="D28" t="inlineStr">
        <is>
          <t>Бульдозеры</t>
        </is>
      </c>
      <c r="E28" t="inlineStr">
        <is>
          <t>OPEX (ремонты и ТО)</t>
        </is>
      </c>
      <c r="F28" t="inlineStr">
        <is>
          <t>Бульдозер гусеничный D155A-5 №1412</t>
        </is>
      </c>
      <c r="G28" t="inlineStr">
        <is>
          <t>100000009144</t>
        </is>
      </c>
      <c r="H28" t="inlineStr">
        <is>
          <t>1412</t>
        </is>
      </c>
      <c r="I28" t="inlineStr">
        <is>
          <t>Бульдозер гусеничный D155A-5 №1412</t>
        </is>
      </c>
      <c r="J28" t="inlineStr">
        <is>
          <t>03-RUD-UVSP-BZ06</t>
        </is>
      </c>
      <c r="K28" t="inlineStr">
        <is>
          <t>01.06.2014</t>
        </is>
      </c>
      <c r="L28" t="inlineStr">
        <is>
          <t>#</t>
        </is>
      </c>
      <c r="M28" t="inlineStr">
        <is>
          <t>01.01.2028</t>
        </is>
      </c>
      <c r="N28" t="inlineStr">
        <is>
          <t>1102737701</t>
        </is>
      </c>
      <c r="O28" t="inlineStr">
        <is>
          <t>ТР ходовая D155A-5 №1412</t>
        </is>
      </c>
      <c r="P28" t="inlineStr">
        <is>
          <t>#</t>
        </is>
      </c>
      <c r="Q28" t="inlineStr">
        <is>
          <t>18.08.2027</t>
        </is>
      </c>
      <c r="R28" t="inlineStr">
        <is>
          <t>19.08.2027</t>
        </is>
      </c>
      <c r="S28" t="inlineStr">
        <is>
          <t>Хоз.способ</t>
        </is>
      </c>
      <c r="T28" t="inlineStr">
        <is>
          <t>XS</t>
        </is>
      </c>
      <c r="U28" t="inlineStr">
        <is>
          <t>ДМНП  ОТКР  ПКАЛ  ОБСЗ</t>
        </is>
      </c>
      <c r="V28" t="inlineStr">
        <is>
          <t>ПТОГ  СГГС  ГОД  МТРЦ</t>
        </is>
      </c>
      <c r="W28" t="inlineStr">
        <is>
          <t>Участок по ТОиР ТТ б</t>
        </is>
      </c>
      <c r="X28" t="inlineStr">
        <is>
          <t>APP1</t>
        </is>
      </c>
      <c r="Y28" t="inlineStr">
        <is>
          <t>ТОРО по ППР</t>
        </is>
      </c>
      <c r="Z28" t="inlineStr">
        <is>
          <t>Текущий ремонт</t>
        </is>
      </c>
      <c r="AA28" t="inlineStr">
        <is>
          <t>ТР</t>
        </is>
      </c>
      <c r="AB28" t="inlineStr">
        <is>
          <t>АТЦ_парк бульдозеров Komatsu D-155</t>
        </is>
      </c>
      <c r="AC28" t="inlineStr">
        <is>
          <t>АТЦ_парк бульдозеров Komatsu D-155</t>
        </is>
      </c>
      <c r="AD28" t="inlineStr">
        <is>
          <t>D155A-5</t>
        </is>
      </c>
      <c r="AE28" t="inlineStr">
        <is>
          <t>Втулка 17A-50-12181 Komatsu</t>
        </is>
      </c>
      <c r="AF28" t="inlineStr">
        <is>
          <t>671923</t>
        </is>
      </c>
      <c r="AG28" t="inlineStr">
        <is>
          <t>17A-50-12181</t>
        </is>
      </c>
      <c r="AH28" t="inlineStr">
        <is>
          <t>18.08.2027</t>
        </is>
      </c>
      <c r="AI28" t="inlineStr">
        <is>
          <t>#</t>
        </is>
      </c>
      <c r="AJ28" t="inlineStr">
        <is>
          <t>X</t>
        </is>
      </c>
      <c r="AK28" t="inlineStr">
        <is>
          <t>Калькуляц.: 100% релеван.</t>
        </is>
      </c>
      <c r="AL28" t="inlineStr">
        <is>
          <t>12.08.2026</t>
        </is>
      </c>
      <c r="AM28" t="inlineStr">
        <is>
          <t>Зап. к бульд.Komatsu</t>
        </is>
      </c>
      <c r="AN28" t="inlineStr">
        <is>
          <t>3.4.1.2</t>
        </is>
      </c>
      <c r="AO28" t="inlineStr">
        <is>
          <t>3I2</t>
        </is>
      </c>
      <c r="AP28" t="inlineStr">
        <is>
          <t>Полячкин Д.С.</t>
        </is>
      </c>
      <c r="AQ28" t="inlineStr">
        <is>
          <t>Начиная с деблокир.</t>
        </is>
      </c>
      <c r="AR28" t="inlineStr">
        <is>
          <t>Не срочная потребнос</t>
        </is>
      </c>
      <c r="AS28" t="inlineStr">
        <is>
          <t>L</t>
        </is>
      </c>
      <c r="AT28" t="inlineStr">
        <is>
          <t>Складская позиция</t>
        </is>
      </c>
      <c r="AU28" t="inlineStr">
        <is>
          <t>АО «Развитие» Иркутс</t>
        </is>
      </c>
      <c r="AV28" t="inlineStr">
        <is>
          <t>7102/100</t>
        </is>
      </c>
      <c r="AW28" t="inlineStr">
        <is>
          <t>Механика</t>
        </is>
      </c>
      <c r="AX28" t="inlineStr">
        <is>
          <t>Komatsu</t>
        </is>
      </c>
      <c r="AY28" t="inlineStr">
        <is>
          <t>Komatsu</t>
        </is>
      </c>
      <c r="AZ28" t="n">
        <v>110284.44</v>
      </c>
      <c r="BA28" t="n">
        <v>27571.11</v>
      </c>
      <c r="BB28" t="n">
        <v>4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</row>
    <row r="29">
      <c r="B29" t="inlineStr">
        <is>
          <t>АО "Полюс Вернинское"</t>
        </is>
      </c>
      <c r="C29" t="inlineStr">
        <is>
          <t>Бульдозеры</t>
        </is>
      </c>
      <c r="D29" t="inlineStr">
        <is>
          <t>Бульдозеры</t>
        </is>
      </c>
      <c r="E29" t="inlineStr">
        <is>
          <t>OPEX (ремонты и ТО)</t>
        </is>
      </c>
      <c r="F29" t="inlineStr">
        <is>
          <t>Бульдозер гусеничный D155A-5 №1412</t>
        </is>
      </c>
      <c r="G29" t="inlineStr">
        <is>
          <t>100000009144</t>
        </is>
      </c>
      <c r="H29" t="inlineStr">
        <is>
          <t>1412</t>
        </is>
      </c>
      <c r="I29" t="inlineStr">
        <is>
          <t>Бульдозер гусеничный D155A-5 №1412</t>
        </is>
      </c>
      <c r="J29" t="inlineStr">
        <is>
          <t>03-RUD-UVSP-BZ06</t>
        </is>
      </c>
      <c r="K29" t="inlineStr">
        <is>
          <t>01.06.2014</t>
        </is>
      </c>
      <c r="L29" t="inlineStr">
        <is>
          <t>#</t>
        </is>
      </c>
      <c r="M29" t="inlineStr">
        <is>
          <t>01.01.2028</t>
        </is>
      </c>
      <c r="N29" t="inlineStr">
        <is>
          <t>1102737701</t>
        </is>
      </c>
      <c r="O29" t="inlineStr">
        <is>
          <t>ТР ходовая D155A-5 №1412</t>
        </is>
      </c>
      <c r="P29" t="inlineStr">
        <is>
          <t>#</t>
        </is>
      </c>
      <c r="Q29" t="inlineStr">
        <is>
          <t>18.08.2027</t>
        </is>
      </c>
      <c r="R29" t="inlineStr">
        <is>
          <t>19.08.2027</t>
        </is>
      </c>
      <c r="S29" t="inlineStr">
        <is>
          <t>Хоз.способ</t>
        </is>
      </c>
      <c r="T29" t="inlineStr">
        <is>
          <t>XS</t>
        </is>
      </c>
      <c r="U29" t="inlineStr">
        <is>
          <t>ДМНП  ОТКР  ПКАЛ  ОБСЗ</t>
        </is>
      </c>
      <c r="V29" t="inlineStr">
        <is>
          <t>ПТОГ  СГГС  ГОД  МТРЦ</t>
        </is>
      </c>
      <c r="W29" t="inlineStr">
        <is>
          <t>Участок по ТОиР ТТ б</t>
        </is>
      </c>
      <c r="X29" t="inlineStr">
        <is>
          <t>APP1</t>
        </is>
      </c>
      <c r="Y29" t="inlineStr">
        <is>
          <t>ТОРО по ППР</t>
        </is>
      </c>
      <c r="Z29" t="inlineStr">
        <is>
          <t>Текущий ремонт</t>
        </is>
      </c>
      <c r="AA29" t="inlineStr">
        <is>
          <t>ТР</t>
        </is>
      </c>
      <c r="AB29" t="inlineStr">
        <is>
          <t>АТЦ_парк бульдозеров Komatsu D-155</t>
        </is>
      </c>
      <c r="AC29" t="inlineStr">
        <is>
          <t>АТЦ_парк бульдозеров Komatsu D-155</t>
        </is>
      </c>
      <c r="AD29" t="inlineStr">
        <is>
          <t>D155A-5</t>
        </is>
      </c>
      <c r="AE29" t="inlineStr">
        <is>
          <t>Втулка 17A-50-12310 Komatsu</t>
        </is>
      </c>
      <c r="AF29" t="inlineStr">
        <is>
          <t>850533</t>
        </is>
      </c>
      <c r="AG29" t="inlineStr">
        <is>
          <t>17A-50-12310</t>
        </is>
      </c>
      <c r="AH29" t="inlineStr">
        <is>
          <t>18.08.2027</t>
        </is>
      </c>
      <c r="AI29" t="inlineStr">
        <is>
          <t>#</t>
        </is>
      </c>
      <c r="AJ29" t="inlineStr">
        <is>
          <t>X</t>
        </is>
      </c>
      <c r="AK29" t="inlineStr">
        <is>
          <t>Калькуляц.: 100% релеван.</t>
        </is>
      </c>
      <c r="AL29" t="inlineStr">
        <is>
          <t>12.08.2026</t>
        </is>
      </c>
      <c r="AM29" t="inlineStr">
        <is>
          <t>Зап. погруз. Komatsu</t>
        </is>
      </c>
      <c r="AN29" t="inlineStr">
        <is>
          <t>3.1.4.1</t>
        </is>
      </c>
      <c r="AO29" t="inlineStr">
        <is>
          <t>3I2</t>
        </is>
      </c>
      <c r="AP29" t="inlineStr">
        <is>
          <t>Полячкин Д.С.</t>
        </is>
      </c>
      <c r="AQ29" t="inlineStr">
        <is>
          <t>Начиная с деблокир.</t>
        </is>
      </c>
      <c r="AR29" t="inlineStr">
        <is>
          <t>Не срочная потребнос</t>
        </is>
      </c>
      <c r="AS29" t="inlineStr">
        <is>
          <t>L</t>
        </is>
      </c>
      <c r="AT29" t="inlineStr">
        <is>
          <t>Складская позиция</t>
        </is>
      </c>
      <c r="AU29" t="inlineStr">
        <is>
          <t>АО «Развитие» Иркутс</t>
        </is>
      </c>
      <c r="AV29" t="inlineStr">
        <is>
          <t>7102/100</t>
        </is>
      </c>
      <c r="AW29" t="inlineStr">
        <is>
          <t>Механика</t>
        </is>
      </c>
      <c r="AX29" t="inlineStr">
        <is>
          <t>Komatsu</t>
        </is>
      </c>
      <c r="AY29" t="inlineStr">
        <is>
          <t>Komatsu</t>
        </is>
      </c>
      <c r="AZ29" t="n">
        <v>127629.82</v>
      </c>
      <c r="BA29" t="n">
        <v>63814.91</v>
      </c>
      <c r="BB29" t="n">
        <v>2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</row>
    <row r="30">
      <c r="B30" t="inlineStr">
        <is>
          <t>АО "Полюс Вернинское"</t>
        </is>
      </c>
      <c r="C30" t="inlineStr">
        <is>
          <t>Бульдозеры</t>
        </is>
      </c>
      <c r="D30" t="inlineStr">
        <is>
          <t>Бульдозеры</t>
        </is>
      </c>
      <c r="E30" t="inlineStr">
        <is>
          <t>OPEX (ремонты и ТО)</t>
        </is>
      </c>
      <c r="F30" t="inlineStr">
        <is>
          <t>Бульдозер гусеничный D155A-5 №1412</t>
        </is>
      </c>
      <c r="G30" t="inlineStr">
        <is>
          <t>100000009144</t>
        </is>
      </c>
      <c r="H30" t="inlineStr">
        <is>
          <t>1412</t>
        </is>
      </c>
      <c r="I30" t="inlineStr">
        <is>
          <t>Бульдозер гусеничный D155A-5 №1412</t>
        </is>
      </c>
      <c r="J30" t="inlineStr">
        <is>
          <t>03-RUD-UVSP-BZ06</t>
        </is>
      </c>
      <c r="K30" t="inlineStr">
        <is>
          <t>01.06.2014</t>
        </is>
      </c>
      <c r="L30" t="inlineStr">
        <is>
          <t>#</t>
        </is>
      </c>
      <c r="M30" t="inlineStr">
        <is>
          <t>01.01.2028</t>
        </is>
      </c>
      <c r="N30" t="inlineStr">
        <is>
          <t>1102737701</t>
        </is>
      </c>
      <c r="O30" t="inlineStr">
        <is>
          <t>ТР ходовая D155A-5 №1412</t>
        </is>
      </c>
      <c r="P30" t="inlineStr">
        <is>
          <t>#</t>
        </is>
      </c>
      <c r="Q30" t="inlineStr">
        <is>
          <t>18.08.2027</t>
        </is>
      </c>
      <c r="R30" t="inlineStr">
        <is>
          <t>19.08.2027</t>
        </is>
      </c>
      <c r="S30" t="inlineStr">
        <is>
          <t>Хоз.способ</t>
        </is>
      </c>
      <c r="T30" t="inlineStr">
        <is>
          <t>XS</t>
        </is>
      </c>
      <c r="U30" t="inlineStr">
        <is>
          <t>ДМНП  ОТКР  ПКАЛ  ОБСЗ</t>
        </is>
      </c>
      <c r="V30" t="inlineStr">
        <is>
          <t>ПТОГ  СГГС  ГОД  МТРЦ</t>
        </is>
      </c>
      <c r="W30" t="inlineStr">
        <is>
          <t>Участок по ТОиР ТТ б</t>
        </is>
      </c>
      <c r="X30" t="inlineStr">
        <is>
          <t>APP1</t>
        </is>
      </c>
      <c r="Y30" t="inlineStr">
        <is>
          <t>ТОРО по ППР</t>
        </is>
      </c>
      <c r="Z30" t="inlineStr">
        <is>
          <t>Текущий ремонт</t>
        </is>
      </c>
      <c r="AA30" t="inlineStr">
        <is>
          <t>ТР</t>
        </is>
      </c>
      <c r="AB30" t="inlineStr">
        <is>
          <t>АТЦ_парк бульдозеров Komatsu D-155</t>
        </is>
      </c>
      <c r="AC30" t="inlineStr">
        <is>
          <t>АТЦ_парк бульдозеров Komatsu D-155</t>
        </is>
      </c>
      <c r="AD30" t="inlineStr">
        <is>
          <t>D155A-5</t>
        </is>
      </c>
      <c r="AE30" t="inlineStr">
        <is>
          <t>Втулка 17A-50-12431 Komatsu</t>
        </is>
      </c>
      <c r="AF30" t="inlineStr">
        <is>
          <t>635041</t>
        </is>
      </c>
      <c r="AG30" t="inlineStr">
        <is>
          <t>17A-50-12431</t>
        </is>
      </c>
      <c r="AH30" t="inlineStr">
        <is>
          <t>18.08.2027</t>
        </is>
      </c>
      <c r="AI30" t="inlineStr">
        <is>
          <t>#</t>
        </is>
      </c>
      <c r="AJ30" t="inlineStr">
        <is>
          <t>X</t>
        </is>
      </c>
      <c r="AK30" t="inlineStr">
        <is>
          <t>Калькуляц.: 100% релеван.</t>
        </is>
      </c>
      <c r="AL30" t="inlineStr">
        <is>
          <t>12.08.2026</t>
        </is>
      </c>
      <c r="AM30" t="inlineStr">
        <is>
          <t>Зап. к бульд.Komatsu</t>
        </is>
      </c>
      <c r="AN30" t="inlineStr">
        <is>
          <t>3.4.1.2</t>
        </is>
      </c>
      <c r="AO30" t="inlineStr">
        <is>
          <t>3I2</t>
        </is>
      </c>
      <c r="AP30" t="inlineStr">
        <is>
          <t>Полячкин Д.С.</t>
        </is>
      </c>
      <c r="AQ30" t="inlineStr">
        <is>
          <t>Начиная с деблокир.</t>
        </is>
      </c>
      <c r="AR30" t="inlineStr">
        <is>
          <t>Не срочная потребнос</t>
        </is>
      </c>
      <c r="AS30" t="inlineStr">
        <is>
          <t>L</t>
        </is>
      </c>
      <c r="AT30" t="inlineStr">
        <is>
          <t>Складская позиция</t>
        </is>
      </c>
      <c r="AU30" t="inlineStr">
        <is>
          <t>АО «Развитие» Иркутс</t>
        </is>
      </c>
      <c r="AV30" t="inlineStr">
        <is>
          <t>7102/100</t>
        </is>
      </c>
      <c r="AW30" t="inlineStr">
        <is>
          <t>Механика</t>
        </is>
      </c>
      <c r="AX30" t="inlineStr">
        <is>
          <t>Komatsu</t>
        </is>
      </c>
      <c r="AY30" t="inlineStr">
        <is>
          <t>Komatsu</t>
        </is>
      </c>
      <c r="AZ30" t="n">
        <v>204095.46</v>
      </c>
      <c r="BA30" t="n">
        <v>34015.91</v>
      </c>
      <c r="BB30" t="n">
        <v>6</v>
      </c>
      <c r="BC30" t="n">
        <v>0</v>
      </c>
      <c r="BD30" t="n">
        <v>0</v>
      </c>
      <c r="BF30" t="n">
        <v>0</v>
      </c>
      <c r="BG30" t="n">
        <v>0</v>
      </c>
      <c r="BH30" t="n">
        <v>0</v>
      </c>
    </row>
    <row r="31">
      <c r="B31" t="inlineStr">
        <is>
          <t>АО "Полюс Вернинское"</t>
        </is>
      </c>
      <c r="C31" t="inlineStr">
        <is>
          <t>Бульдозеры</t>
        </is>
      </c>
      <c r="D31" t="inlineStr">
        <is>
          <t>Бульдозеры</t>
        </is>
      </c>
      <c r="E31" t="inlineStr">
        <is>
          <t>OPEX (ремонты и ТО)</t>
        </is>
      </c>
      <c r="F31" t="inlineStr">
        <is>
          <t>Бульдозер гусеничный D155A-5 №1412</t>
        </is>
      </c>
      <c r="G31" t="inlineStr">
        <is>
          <t>100000009144</t>
        </is>
      </c>
      <c r="H31" t="inlineStr">
        <is>
          <t>1412</t>
        </is>
      </c>
      <c r="I31" t="inlineStr">
        <is>
          <t>Бульдозер гусеничный D155A-5 №1412</t>
        </is>
      </c>
      <c r="J31" t="inlineStr">
        <is>
          <t>03-RUD-UVSP-BZ06</t>
        </is>
      </c>
      <c r="K31" t="inlineStr">
        <is>
          <t>01.06.2014</t>
        </is>
      </c>
      <c r="L31" t="inlineStr">
        <is>
          <t>#</t>
        </is>
      </c>
      <c r="M31" t="inlineStr">
        <is>
          <t>01.01.2028</t>
        </is>
      </c>
      <c r="N31" t="inlineStr">
        <is>
          <t>1102737701</t>
        </is>
      </c>
      <c r="O31" t="inlineStr">
        <is>
          <t>ТР ходовая D155A-5 №1412</t>
        </is>
      </c>
      <c r="P31" t="inlineStr">
        <is>
          <t>#</t>
        </is>
      </c>
      <c r="Q31" t="inlineStr">
        <is>
          <t>18.08.2027</t>
        </is>
      </c>
      <c r="R31" t="inlineStr">
        <is>
          <t>19.08.2027</t>
        </is>
      </c>
      <c r="S31" t="inlineStr">
        <is>
          <t>Хоз.способ</t>
        </is>
      </c>
      <c r="T31" t="inlineStr">
        <is>
          <t>XS</t>
        </is>
      </c>
      <c r="U31" t="inlineStr">
        <is>
          <t>ДМНП  ОТКР  ПКАЛ  ОБСЗ</t>
        </is>
      </c>
      <c r="V31" t="inlineStr">
        <is>
          <t>ПТОГ  СГГС  ГОД  МТРЦ</t>
        </is>
      </c>
      <c r="W31" t="inlineStr">
        <is>
          <t>Участок по ТОиР ТТ б</t>
        </is>
      </c>
      <c r="X31" t="inlineStr">
        <is>
          <t>APP1</t>
        </is>
      </c>
      <c r="Y31" t="inlineStr">
        <is>
          <t>ТОРО по ППР</t>
        </is>
      </c>
      <c r="Z31" t="inlineStr">
        <is>
          <t>Текущий ремонт</t>
        </is>
      </c>
      <c r="AA31" t="inlineStr">
        <is>
          <t>ТР</t>
        </is>
      </c>
      <c r="AB31" t="inlineStr">
        <is>
          <t>АТЦ_парк бульдозеров Komatsu D-155</t>
        </is>
      </c>
      <c r="AC31" t="inlineStr">
        <is>
          <t>АТЦ_парк бульдозеров Komatsu D-155</t>
        </is>
      </c>
      <c r="AD31" t="inlineStr">
        <is>
          <t>D155A-5</t>
        </is>
      </c>
      <c r="AE31" t="inlineStr">
        <is>
          <t>Втулка центр.17A-50-12270 Komatsu</t>
        </is>
      </c>
      <c r="AF31" t="inlineStr">
        <is>
          <t>635045</t>
        </is>
      </c>
      <c r="AG31" t="inlineStr">
        <is>
          <t>17A-50-12270</t>
        </is>
      </c>
      <c r="AH31" t="inlineStr">
        <is>
          <t>18.08.2027</t>
        </is>
      </c>
      <c r="AI31" t="inlineStr">
        <is>
          <t>#</t>
        </is>
      </c>
      <c r="AJ31" t="inlineStr">
        <is>
          <t>X</t>
        </is>
      </c>
      <c r="AK31" t="inlineStr">
        <is>
          <t>Калькуляц.: 100% релеван.</t>
        </is>
      </c>
      <c r="AL31" t="inlineStr">
        <is>
          <t>12.08.2026</t>
        </is>
      </c>
      <c r="AM31" t="inlineStr">
        <is>
          <t>Зап. к бульд.Komatsu</t>
        </is>
      </c>
      <c r="AN31" t="inlineStr">
        <is>
          <t>3.4.1.2</t>
        </is>
      </c>
      <c r="AO31" t="inlineStr">
        <is>
          <t>3I2</t>
        </is>
      </c>
      <c r="AP31" t="inlineStr">
        <is>
          <t>Полячкин Д.С.</t>
        </is>
      </c>
      <c r="AQ31" t="inlineStr">
        <is>
          <t>Начиная с деблокир.</t>
        </is>
      </c>
      <c r="AR31" t="inlineStr">
        <is>
          <t>Не срочная потребнос</t>
        </is>
      </c>
      <c r="AS31" t="inlineStr">
        <is>
          <t>L</t>
        </is>
      </c>
      <c r="AT31" t="inlineStr">
        <is>
          <t>Складская позиция</t>
        </is>
      </c>
      <c r="AU31" t="inlineStr">
        <is>
          <t>АО «Развитие» Иркутс</t>
        </is>
      </c>
      <c r="AV31" t="inlineStr">
        <is>
          <t>7102/100</t>
        </is>
      </c>
      <c r="AW31" t="inlineStr">
        <is>
          <t>Механика</t>
        </is>
      </c>
      <c r="AX31" t="inlineStr">
        <is>
          <t>Komatsu</t>
        </is>
      </c>
      <c r="AY31" t="inlineStr">
        <is>
          <t>Komatsu</t>
        </is>
      </c>
      <c r="AZ31" t="n">
        <v>32048.58</v>
      </c>
      <c r="BA31" t="n">
        <v>16024.29</v>
      </c>
      <c r="BB31" t="n">
        <v>2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</row>
    <row r="32">
      <c r="B32" t="inlineStr">
        <is>
          <t>АО "Полюс Вернинское"</t>
        </is>
      </c>
      <c r="C32" t="inlineStr">
        <is>
          <t>Бульдозеры</t>
        </is>
      </c>
      <c r="D32" t="inlineStr">
        <is>
          <t>Бульдозеры</t>
        </is>
      </c>
      <c r="E32" t="inlineStr">
        <is>
          <t>OPEX (ремонты и ТО)</t>
        </is>
      </c>
      <c r="F32" t="inlineStr">
        <is>
          <t>Бульдозер гусеничный D155A-5 №1412</t>
        </is>
      </c>
      <c r="G32" t="inlineStr">
        <is>
          <t>100000009144</t>
        </is>
      </c>
      <c r="H32" t="inlineStr">
        <is>
          <t>1412</t>
        </is>
      </c>
      <c r="I32" t="inlineStr">
        <is>
          <t>Бульдозер гусеничный D155A-5 №1412</t>
        </is>
      </c>
      <c r="J32" t="inlineStr">
        <is>
          <t>03-RUD-UVSP-BZ06</t>
        </is>
      </c>
      <c r="K32" t="inlineStr">
        <is>
          <t>01.06.2014</t>
        </is>
      </c>
      <c r="L32" t="inlineStr">
        <is>
          <t>#</t>
        </is>
      </c>
      <c r="M32" t="inlineStr">
        <is>
          <t>01.01.2028</t>
        </is>
      </c>
      <c r="N32" t="inlineStr">
        <is>
          <t>1102737701</t>
        </is>
      </c>
      <c r="O32" t="inlineStr">
        <is>
          <t>ТР ходовая D155A-5 №1412</t>
        </is>
      </c>
      <c r="P32" t="inlineStr">
        <is>
          <t>#</t>
        </is>
      </c>
      <c r="Q32" t="inlineStr">
        <is>
          <t>18.08.2027</t>
        </is>
      </c>
      <c r="R32" t="inlineStr">
        <is>
          <t>19.08.2027</t>
        </is>
      </c>
      <c r="S32" t="inlineStr">
        <is>
          <t>Хоз.способ</t>
        </is>
      </c>
      <c r="T32" t="inlineStr">
        <is>
          <t>XS</t>
        </is>
      </c>
      <c r="U32" t="inlineStr">
        <is>
          <t>ДМНП  ОТКР  ПКАЛ  ОБСЗ</t>
        </is>
      </c>
      <c r="V32" t="inlineStr">
        <is>
          <t>ПТОГ  СГГС  ГОД  МТРЦ</t>
        </is>
      </c>
      <c r="W32" t="inlineStr">
        <is>
          <t>Участок по ТОиР ТТ б</t>
        </is>
      </c>
      <c r="X32" t="inlineStr">
        <is>
          <t>APP1</t>
        </is>
      </c>
      <c r="Y32" t="inlineStr">
        <is>
          <t>ТОРО по ППР</t>
        </is>
      </c>
      <c r="Z32" t="inlineStr">
        <is>
          <t>Текущий ремонт</t>
        </is>
      </c>
      <c r="AA32" t="inlineStr">
        <is>
          <t>ТР</t>
        </is>
      </c>
      <c r="AB32" t="inlineStr">
        <is>
          <t>АТЦ_парк бульдозеров Komatsu D-155</t>
        </is>
      </c>
      <c r="AC32" t="inlineStr">
        <is>
          <t>АТЦ_парк бульдозеров Komatsu D-155</t>
        </is>
      </c>
      <c r="AD32" t="inlineStr">
        <is>
          <t>D155A-5</t>
        </is>
      </c>
      <c r="AE32" t="inlineStr">
        <is>
          <t>Гайка 01803-02430 Komatsu</t>
        </is>
      </c>
      <c r="AF32" t="inlineStr">
        <is>
          <t>605040</t>
        </is>
      </c>
      <c r="AG32" t="inlineStr">
        <is>
          <t>01803-02430</t>
        </is>
      </c>
      <c r="AH32" t="inlineStr">
        <is>
          <t>18.08.2027</t>
        </is>
      </c>
      <c r="AI32" t="inlineStr">
        <is>
          <t>#</t>
        </is>
      </c>
      <c r="AJ32" t="inlineStr">
        <is>
          <t>X</t>
        </is>
      </c>
      <c r="AK32" t="inlineStr">
        <is>
          <t>Калькуляц.: 100% релеван.</t>
        </is>
      </c>
      <c r="AL32" t="inlineStr">
        <is>
          <t>12.08.2026</t>
        </is>
      </c>
      <c r="AM32" t="inlineStr">
        <is>
          <t>Элем.ход.сис.гус.тех</t>
        </is>
      </c>
      <c r="AN32" t="inlineStr">
        <is>
          <t>3.19.4</t>
        </is>
      </c>
      <c r="AO32" t="inlineStr">
        <is>
          <t>3H3</t>
        </is>
      </c>
      <c r="AP32" t="inlineStr">
        <is>
          <t>Риттер И.В.</t>
        </is>
      </c>
      <c r="AQ32" t="inlineStr">
        <is>
          <t>Начиная с деблокир.</t>
        </is>
      </c>
      <c r="AR32" t="inlineStr">
        <is>
          <t>Не срочная потребнос</t>
        </is>
      </c>
      <c r="AS32" t="inlineStr">
        <is>
          <t>L</t>
        </is>
      </c>
      <c r="AT32" t="inlineStr">
        <is>
          <t>Складская позиция</t>
        </is>
      </c>
      <c r="AU32" t="inlineStr">
        <is>
          <t>АО «Развитие» Иркутс</t>
        </is>
      </c>
      <c r="AV32" t="inlineStr">
        <is>
          <t>7102/100</t>
        </is>
      </c>
      <c r="AW32" t="inlineStr">
        <is>
          <t>Механика</t>
        </is>
      </c>
      <c r="AX32" t="inlineStr">
        <is>
          <t>Komatsu</t>
        </is>
      </c>
      <c r="AY32" t="inlineStr">
        <is>
          <t>Komatsu</t>
        </is>
      </c>
      <c r="AZ32" t="n">
        <v>16562.88</v>
      </c>
      <c r="BA32" t="n">
        <v>306.72</v>
      </c>
      <c r="BB32" t="n">
        <v>54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</row>
    <row r="33">
      <c r="B33" t="inlineStr">
        <is>
          <t>АО "Полюс Вернинское"</t>
        </is>
      </c>
      <c r="C33" t="inlineStr">
        <is>
          <t>Бульдозеры</t>
        </is>
      </c>
      <c r="D33" t="inlineStr">
        <is>
          <t>Бульдозеры</t>
        </is>
      </c>
      <c r="E33" t="inlineStr">
        <is>
          <t>OPEX (ремонты и ТО)</t>
        </is>
      </c>
      <c r="F33" t="inlineStr">
        <is>
          <t>Бульдозер гусеничный D155A-5 №1412</t>
        </is>
      </c>
      <c r="G33" t="inlineStr">
        <is>
          <t>100000009144</t>
        </is>
      </c>
      <c r="H33" t="inlineStr">
        <is>
          <t>1412</t>
        </is>
      </c>
      <c r="I33" t="inlineStr">
        <is>
          <t>Бульдозер гусеничный D155A-5 №1412</t>
        </is>
      </c>
      <c r="J33" t="inlineStr">
        <is>
          <t>03-RUD-UVSP-BZ06</t>
        </is>
      </c>
      <c r="K33" t="inlineStr">
        <is>
          <t>01.06.2014</t>
        </is>
      </c>
      <c r="L33" t="inlineStr">
        <is>
          <t>#</t>
        </is>
      </c>
      <c r="M33" t="inlineStr">
        <is>
          <t>01.01.2028</t>
        </is>
      </c>
      <c r="N33" t="inlineStr">
        <is>
          <t>1102737701</t>
        </is>
      </c>
      <c r="O33" t="inlineStr">
        <is>
          <t>ТР ходовая D155A-5 №1412</t>
        </is>
      </c>
      <c r="P33" t="inlineStr">
        <is>
          <t>#</t>
        </is>
      </c>
      <c r="Q33" t="inlineStr">
        <is>
          <t>18.08.2027</t>
        </is>
      </c>
      <c r="R33" t="inlineStr">
        <is>
          <t>19.08.2027</t>
        </is>
      </c>
      <c r="S33" t="inlineStr">
        <is>
          <t>Хоз.способ</t>
        </is>
      </c>
      <c r="T33" t="inlineStr">
        <is>
          <t>XS</t>
        </is>
      </c>
      <c r="U33" t="inlineStr">
        <is>
          <t>ДМНП  ОТКР  ПКАЛ  ОБСЗ</t>
        </is>
      </c>
      <c r="V33" t="inlineStr">
        <is>
          <t>ПТОГ  СГГС  ГОД  МТРЦ</t>
        </is>
      </c>
      <c r="W33" t="inlineStr">
        <is>
          <t>Участок по ТОиР ТТ б</t>
        </is>
      </c>
      <c r="X33" t="inlineStr">
        <is>
          <t>APP1</t>
        </is>
      </c>
      <c r="Y33" t="inlineStr">
        <is>
          <t>ТОРО по ППР</t>
        </is>
      </c>
      <c r="Z33" t="inlineStr">
        <is>
          <t>Текущий ремонт</t>
        </is>
      </c>
      <c r="AA33" t="inlineStr">
        <is>
          <t>ТР</t>
        </is>
      </c>
      <c r="AB33" t="inlineStr">
        <is>
          <t>АТЦ_парк бульдозеров Komatsu D-155</t>
        </is>
      </c>
      <c r="AC33" t="inlineStr">
        <is>
          <t>АТЦ_парк бульдозеров Komatsu D-155</t>
        </is>
      </c>
      <c r="AD33" t="inlineStr">
        <is>
          <t>D155A-5</t>
        </is>
      </c>
      <c r="AE33" t="inlineStr">
        <is>
          <t>Каток опор.СБ 17A-30-00070 Komatsu</t>
        </is>
      </c>
      <c r="AF33" t="inlineStr">
        <is>
          <t>734987</t>
        </is>
      </c>
      <c r="AG33" t="inlineStr">
        <is>
          <t>17A-30-00070</t>
        </is>
      </c>
      <c r="AH33" t="inlineStr">
        <is>
          <t>18.08.2027</t>
        </is>
      </c>
      <c r="AI33" t="inlineStr">
        <is>
          <t>#</t>
        </is>
      </c>
      <c r="AJ33" t="inlineStr">
        <is>
          <t>X</t>
        </is>
      </c>
      <c r="AK33" t="inlineStr">
        <is>
          <t>Калькуляц.: 100% релеван.</t>
        </is>
      </c>
      <c r="AL33" t="inlineStr">
        <is>
          <t>12.08.2026</t>
        </is>
      </c>
      <c r="AM33" t="inlineStr">
        <is>
          <t>Зап. экск. Komatsu</t>
        </is>
      </c>
      <c r="AN33" t="inlineStr">
        <is>
          <t>3.1.2.1</t>
        </is>
      </c>
      <c r="AO33" t="inlineStr">
        <is>
          <t>3I2</t>
        </is>
      </c>
      <c r="AP33" t="inlineStr">
        <is>
          <t>Полячкин Д.С.</t>
        </is>
      </c>
      <c r="AQ33" t="inlineStr">
        <is>
          <t>Начиная с деблокир.</t>
        </is>
      </c>
      <c r="AR33" t="inlineStr">
        <is>
          <t>Не срочная потребнос</t>
        </is>
      </c>
      <c r="AS33" t="inlineStr">
        <is>
          <t>L</t>
        </is>
      </c>
      <c r="AT33" t="inlineStr">
        <is>
          <t>Складская позиция</t>
        </is>
      </c>
      <c r="AU33" t="inlineStr">
        <is>
          <t>АО «Развитие» Иркутс</t>
        </is>
      </c>
      <c r="AV33" t="inlineStr">
        <is>
          <t>7102/100</t>
        </is>
      </c>
      <c r="AW33" t="inlineStr">
        <is>
          <t>Механика</t>
        </is>
      </c>
      <c r="AX33" t="inlineStr">
        <is>
          <t>Komatsu</t>
        </is>
      </c>
      <c r="AY33" t="inlineStr">
        <is>
          <t>Komatsu</t>
        </is>
      </c>
      <c r="AZ33" t="n">
        <v>520628.52</v>
      </c>
      <c r="BA33" t="n">
        <v>86771.42</v>
      </c>
      <c r="BB33" t="n">
        <v>6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</row>
    <row r="34">
      <c r="B34" t="inlineStr">
        <is>
          <t>АО "Полюс Вернинское"</t>
        </is>
      </c>
      <c r="C34" t="inlineStr">
        <is>
          <t>Бульдозеры</t>
        </is>
      </c>
      <c r="D34" t="inlineStr">
        <is>
          <t>Бульдозеры</t>
        </is>
      </c>
      <c r="E34" t="inlineStr">
        <is>
          <t>OPEX (ремонты и ТО)</t>
        </is>
      </c>
      <c r="F34" t="inlineStr">
        <is>
          <t>Бульдозер гусеничный D155A-5 №1412</t>
        </is>
      </c>
      <c r="G34" t="inlineStr">
        <is>
          <t>100000009144</t>
        </is>
      </c>
      <c r="H34" t="inlineStr">
        <is>
          <t>1412</t>
        </is>
      </c>
      <c r="I34" t="inlineStr">
        <is>
          <t>Бульдозер гусеничный D155A-5 №1412</t>
        </is>
      </c>
      <c r="J34" t="inlineStr">
        <is>
          <t>03-RUD-UVSP-BZ06</t>
        </is>
      </c>
      <c r="K34" t="inlineStr">
        <is>
          <t>01.06.2014</t>
        </is>
      </c>
      <c r="L34" t="inlineStr">
        <is>
          <t>#</t>
        </is>
      </c>
      <c r="M34" t="inlineStr">
        <is>
          <t>01.01.2028</t>
        </is>
      </c>
      <c r="N34" t="inlineStr">
        <is>
          <t>1102737701</t>
        </is>
      </c>
      <c r="O34" t="inlineStr">
        <is>
          <t>ТР ходовая D155A-5 №1412</t>
        </is>
      </c>
      <c r="P34" t="inlineStr">
        <is>
          <t>#</t>
        </is>
      </c>
      <c r="Q34" t="inlineStr">
        <is>
          <t>18.08.2027</t>
        </is>
      </c>
      <c r="R34" t="inlineStr">
        <is>
          <t>19.08.2027</t>
        </is>
      </c>
      <c r="S34" t="inlineStr">
        <is>
          <t>Хоз.способ</t>
        </is>
      </c>
      <c r="T34" t="inlineStr">
        <is>
          <t>XS</t>
        </is>
      </c>
      <c r="U34" t="inlineStr">
        <is>
          <t>ДМНП  ОТКР  ПКАЛ  ОБСЗ</t>
        </is>
      </c>
      <c r="V34" t="inlineStr">
        <is>
          <t>ПТОГ  СГГС  ГОД  МТРЦ</t>
        </is>
      </c>
      <c r="W34" t="inlineStr">
        <is>
          <t>Участок по ТОиР ТТ б</t>
        </is>
      </c>
      <c r="X34" t="inlineStr">
        <is>
          <t>APP1</t>
        </is>
      </c>
      <c r="Y34" t="inlineStr">
        <is>
          <t>ТОРО по ППР</t>
        </is>
      </c>
      <c r="Z34" t="inlineStr">
        <is>
          <t>Текущий ремонт</t>
        </is>
      </c>
      <c r="AA34" t="inlineStr">
        <is>
          <t>ТР</t>
        </is>
      </c>
      <c r="AB34" t="inlineStr">
        <is>
          <t>АТЦ_парк бульдозеров Komatsu D-155</t>
        </is>
      </c>
      <c r="AC34" t="inlineStr">
        <is>
          <t>АТЦ_парк бульдозеров Komatsu D-155</t>
        </is>
      </c>
      <c r="AD34" t="inlineStr">
        <is>
          <t>D155A-5</t>
        </is>
      </c>
      <c r="AE34" t="inlineStr">
        <is>
          <t>Каток опор.СБ 17A-30-00080 Komatsu</t>
        </is>
      </c>
      <c r="AF34" t="inlineStr">
        <is>
          <t>734988</t>
        </is>
      </c>
      <c r="AG34" t="inlineStr">
        <is>
          <t>17A-30-00080</t>
        </is>
      </c>
      <c r="AH34" t="inlineStr">
        <is>
          <t>18.08.2027</t>
        </is>
      </c>
      <c r="AI34" t="inlineStr">
        <is>
          <t>#</t>
        </is>
      </c>
      <c r="AJ34" t="inlineStr">
        <is>
          <t>X</t>
        </is>
      </c>
      <c r="AK34" t="inlineStr">
        <is>
          <t>Калькуляц.: 100% релеван.</t>
        </is>
      </c>
      <c r="AL34" t="inlineStr">
        <is>
          <t>02.07.2026</t>
        </is>
      </c>
      <c r="AM34" t="inlineStr">
        <is>
          <t>Зап. экск. Komatsu</t>
        </is>
      </c>
      <c r="AN34" t="inlineStr">
        <is>
          <t>3.1.2.1</t>
        </is>
      </c>
      <c r="AO34" t="inlineStr">
        <is>
          <t>3I2</t>
        </is>
      </c>
      <c r="AP34" t="inlineStr">
        <is>
          <t>Полячкин Д.С.</t>
        </is>
      </c>
      <c r="AQ34" t="inlineStr">
        <is>
          <t>Начиная с деблокир.</t>
        </is>
      </c>
      <c r="AR34" t="inlineStr">
        <is>
          <t>Не срочная потребнос</t>
        </is>
      </c>
      <c r="AS34" t="inlineStr">
        <is>
          <t>L</t>
        </is>
      </c>
      <c r="AT34" t="inlineStr">
        <is>
          <t>Складская позиция</t>
        </is>
      </c>
      <c r="AU34" t="inlineStr">
        <is>
          <t>АО «Развитие» Иркутс</t>
        </is>
      </c>
      <c r="AV34" t="inlineStr">
        <is>
          <t>7102/100</t>
        </is>
      </c>
      <c r="AW34" t="inlineStr">
        <is>
          <t>Механика</t>
        </is>
      </c>
      <c r="AX34" t="inlineStr">
        <is>
          <t>Komatsu</t>
        </is>
      </c>
      <c r="AY34" t="inlineStr">
        <is>
          <t>Komatsu</t>
        </is>
      </c>
      <c r="AZ34" t="n">
        <v>1156045.62</v>
      </c>
      <c r="BA34" t="n">
        <v>192674.27</v>
      </c>
      <c r="BB34" t="n">
        <v>6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</row>
    <row r="35">
      <c r="B35" t="inlineStr">
        <is>
          <t>АО "Полюс Вернинское"</t>
        </is>
      </c>
      <c r="C35" t="inlineStr">
        <is>
          <t>Бульдозеры</t>
        </is>
      </c>
      <c r="D35" t="inlineStr">
        <is>
          <t>Бульдозеры</t>
        </is>
      </c>
      <c r="E35" t="inlineStr">
        <is>
          <t>OPEX (ремонты и ТО)</t>
        </is>
      </c>
      <c r="F35" t="inlineStr">
        <is>
          <t>Бульдозер гусеничный D155A-5 №1412</t>
        </is>
      </c>
      <c r="G35" t="inlineStr">
        <is>
          <t>100000009144</t>
        </is>
      </c>
      <c r="H35" t="inlineStr">
        <is>
          <t>1412</t>
        </is>
      </c>
      <c r="I35" t="inlineStr">
        <is>
          <t>Бульдозер гусеничный D155A-5 №1412</t>
        </is>
      </c>
      <c r="J35" t="inlineStr">
        <is>
          <t>03-RUD-UVSP-BZ06</t>
        </is>
      </c>
      <c r="K35" t="inlineStr">
        <is>
          <t>01.06.2014</t>
        </is>
      </c>
      <c r="L35" t="inlineStr">
        <is>
          <t>#</t>
        </is>
      </c>
      <c r="M35" t="inlineStr">
        <is>
          <t>01.01.2028</t>
        </is>
      </c>
      <c r="N35" t="inlineStr">
        <is>
          <t>1102737701</t>
        </is>
      </c>
      <c r="O35" t="inlineStr">
        <is>
          <t>ТР ходовая D155A-5 №1412</t>
        </is>
      </c>
      <c r="P35" t="inlineStr">
        <is>
          <t>#</t>
        </is>
      </c>
      <c r="Q35" t="inlineStr">
        <is>
          <t>18.08.2027</t>
        </is>
      </c>
      <c r="R35" t="inlineStr">
        <is>
          <t>19.08.2027</t>
        </is>
      </c>
      <c r="S35" t="inlineStr">
        <is>
          <t>Хоз.способ</t>
        </is>
      </c>
      <c r="T35" t="inlineStr">
        <is>
          <t>XS</t>
        </is>
      </c>
      <c r="U35" t="inlineStr">
        <is>
          <t>ДМНП  ОТКР  ПКАЛ  ОБСЗ</t>
        </is>
      </c>
      <c r="V35" t="inlineStr">
        <is>
          <t>ПТОГ  СГГС  ГОД  МТРЦ</t>
        </is>
      </c>
      <c r="W35" t="inlineStr">
        <is>
          <t>Участок по ТОиР ТТ б</t>
        </is>
      </c>
      <c r="X35" t="inlineStr">
        <is>
          <t>APP1</t>
        </is>
      </c>
      <c r="Y35" t="inlineStr">
        <is>
          <t>ТОРО по ППР</t>
        </is>
      </c>
      <c r="Z35" t="inlineStr">
        <is>
          <t>Текущий ремонт</t>
        </is>
      </c>
      <c r="AA35" t="inlineStr">
        <is>
          <t>ТР</t>
        </is>
      </c>
      <c r="AB35" t="inlineStr">
        <is>
          <t>АТЦ_парк бульдозеров Komatsu D-155</t>
        </is>
      </c>
      <c r="AC35" t="inlineStr">
        <is>
          <t>АТЦ_парк бульдозеров Komatsu D-155</t>
        </is>
      </c>
      <c r="AD35" t="inlineStr">
        <is>
          <t>D155A-5</t>
        </is>
      </c>
      <c r="AE35" t="inlineStr">
        <is>
          <t>Кольцо 04065-01204 Komatsu</t>
        </is>
      </c>
      <c r="AF35" t="inlineStr">
        <is>
          <t>698840</t>
        </is>
      </c>
      <c r="AG35" t="inlineStr">
        <is>
          <t>04065-01204</t>
        </is>
      </c>
      <c r="AH35" t="inlineStr">
        <is>
          <t>18.08.2027</t>
        </is>
      </c>
      <c r="AI35" t="inlineStr">
        <is>
          <t>#</t>
        </is>
      </c>
      <c r="AJ35" t="inlineStr">
        <is>
          <t>X</t>
        </is>
      </c>
      <c r="AK35" t="inlineStr">
        <is>
          <t>Калькуляц.: 100% релеван.</t>
        </is>
      </c>
      <c r="AL35" t="inlineStr">
        <is>
          <t>12.08.2026</t>
        </is>
      </c>
      <c r="AM35" t="inlineStr">
        <is>
          <t>Зап.самосвал.Komatsu</t>
        </is>
      </c>
      <c r="AN35" t="inlineStr">
        <is>
          <t>3.1.3.1</t>
        </is>
      </c>
      <c r="AO35" t="inlineStr">
        <is>
          <t>3I2</t>
        </is>
      </c>
      <c r="AP35" t="inlineStr">
        <is>
          <t>Полячкин Д.С.</t>
        </is>
      </c>
      <c r="AQ35" t="inlineStr">
        <is>
          <t>Начиная с деблокир.</t>
        </is>
      </c>
      <c r="AR35" t="inlineStr">
        <is>
          <t>Не срочная потребнос</t>
        </is>
      </c>
      <c r="AS35" t="inlineStr">
        <is>
          <t>L</t>
        </is>
      </c>
      <c r="AT35" t="inlineStr">
        <is>
          <t>Складская позиция</t>
        </is>
      </c>
      <c r="AU35" t="inlineStr">
        <is>
          <t>АО «Развитие» Иркутс</t>
        </is>
      </c>
      <c r="AV35" t="inlineStr">
        <is>
          <t>7102/100</t>
        </is>
      </c>
      <c r="AW35" t="inlineStr">
        <is>
          <t>Механика</t>
        </is>
      </c>
      <c r="AX35" t="inlineStr">
        <is>
          <t>Komatsu</t>
        </is>
      </c>
      <c r="AY35" t="inlineStr">
        <is>
          <t>Komatsu</t>
        </is>
      </c>
      <c r="AZ35" t="n">
        <v>8410.120000000001</v>
      </c>
      <c r="BA35" t="n">
        <v>2102.53</v>
      </c>
      <c r="BB35" t="n">
        <v>4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</row>
    <row r="36">
      <c r="B36" t="inlineStr">
        <is>
          <t>АО "Полюс Вернинское"</t>
        </is>
      </c>
      <c r="C36" t="inlineStr">
        <is>
          <t>Бульдозеры</t>
        </is>
      </c>
      <c r="D36" t="inlineStr">
        <is>
          <t>Бульдозеры</t>
        </is>
      </c>
      <c r="E36" t="inlineStr">
        <is>
          <t>OPEX (ремонты и ТО)</t>
        </is>
      </c>
      <c r="F36" t="inlineStr">
        <is>
          <t>Бульдозер гусеничный D155A-5 №1412</t>
        </is>
      </c>
      <c r="G36" t="inlineStr">
        <is>
          <t>100000009144</t>
        </is>
      </c>
      <c r="H36" t="inlineStr">
        <is>
          <t>1412</t>
        </is>
      </c>
      <c r="I36" t="inlineStr">
        <is>
          <t>Бульдозер гусеничный D155A-5 №1412</t>
        </is>
      </c>
      <c r="J36" t="inlineStr">
        <is>
          <t>03-RUD-UVSP-BZ06</t>
        </is>
      </c>
      <c r="K36" t="inlineStr">
        <is>
          <t>01.06.2014</t>
        </is>
      </c>
      <c r="L36" t="inlineStr">
        <is>
          <t>#</t>
        </is>
      </c>
      <c r="M36" t="inlineStr">
        <is>
          <t>01.01.2028</t>
        </is>
      </c>
      <c r="N36" t="inlineStr">
        <is>
          <t>1102737701</t>
        </is>
      </c>
      <c r="O36" t="inlineStr">
        <is>
          <t>ТР ходовая D155A-5 №1412</t>
        </is>
      </c>
      <c r="P36" t="inlineStr">
        <is>
          <t>#</t>
        </is>
      </c>
      <c r="Q36" t="inlineStr">
        <is>
          <t>18.08.2027</t>
        </is>
      </c>
      <c r="R36" t="inlineStr">
        <is>
          <t>19.08.2027</t>
        </is>
      </c>
      <c r="S36" t="inlineStr">
        <is>
          <t>Хоз.способ</t>
        </is>
      </c>
      <c r="T36" t="inlineStr">
        <is>
          <t>XS</t>
        </is>
      </c>
      <c r="U36" t="inlineStr">
        <is>
          <t>ДМНП  ОТКР  ПКАЛ  ОБСЗ</t>
        </is>
      </c>
      <c r="V36" t="inlineStr">
        <is>
          <t>ПТОГ  СГГС  ГОД  МТРЦ</t>
        </is>
      </c>
      <c r="W36" t="inlineStr">
        <is>
          <t>Участок по ТОиР ТТ б</t>
        </is>
      </c>
      <c r="X36" t="inlineStr">
        <is>
          <t>APP1</t>
        </is>
      </c>
      <c r="Y36" t="inlineStr">
        <is>
          <t>ТОРО по ППР</t>
        </is>
      </c>
      <c r="Z36" t="inlineStr">
        <is>
          <t>Текущий ремонт</t>
        </is>
      </c>
      <c r="AA36" t="inlineStr">
        <is>
          <t>ТР</t>
        </is>
      </c>
      <c r="AB36" t="inlineStr">
        <is>
          <t>АТЦ_парк бульдозеров Komatsu D-155</t>
        </is>
      </c>
      <c r="AC36" t="inlineStr">
        <is>
          <t>АТЦ_парк бульдозеров Komatsu D-155</t>
        </is>
      </c>
      <c r="AD36" t="inlineStr">
        <is>
          <t>D155A-5</t>
        </is>
      </c>
      <c r="AE36" t="inlineStr">
        <is>
          <t>Кольцо о-обр.07000-15230 Komatsu</t>
        </is>
      </c>
      <c r="AF36" t="inlineStr">
        <is>
          <t>611228</t>
        </is>
      </c>
      <c r="AG36" t="inlineStr">
        <is>
          <t>07000-15230</t>
        </is>
      </c>
      <c r="AH36" t="inlineStr">
        <is>
          <t>18.08.2027</t>
        </is>
      </c>
      <c r="AI36" t="inlineStr">
        <is>
          <t>#</t>
        </is>
      </c>
      <c r="AJ36" t="inlineStr">
        <is>
          <t>X</t>
        </is>
      </c>
      <c r="AK36" t="inlineStr">
        <is>
          <t>Калькуляц.: 100% релеван.</t>
        </is>
      </c>
      <c r="AL36" t="inlineStr">
        <is>
          <t>12.08.2026</t>
        </is>
      </c>
      <c r="AM36" t="inlineStr">
        <is>
          <t>Зап. погруз. Komatsu</t>
        </is>
      </c>
      <c r="AN36" t="inlineStr">
        <is>
          <t>3.1.4.1</t>
        </is>
      </c>
      <c r="AO36" t="inlineStr">
        <is>
          <t>3I2</t>
        </is>
      </c>
      <c r="AP36" t="inlineStr">
        <is>
          <t>Полячкин Д.С.</t>
        </is>
      </c>
      <c r="AQ36" t="inlineStr">
        <is>
          <t>Начиная с деблокир.</t>
        </is>
      </c>
      <c r="AR36" t="inlineStr">
        <is>
          <t>Не срочная потребнос</t>
        </is>
      </c>
      <c r="AS36" t="inlineStr">
        <is>
          <t>L</t>
        </is>
      </c>
      <c r="AT36" t="inlineStr">
        <is>
          <t>Складская позиция</t>
        </is>
      </c>
      <c r="AU36" t="inlineStr">
        <is>
          <t>АО «Развитие» Иркутс</t>
        </is>
      </c>
      <c r="AV36" t="inlineStr">
        <is>
          <t>7102/100</t>
        </is>
      </c>
      <c r="AW36" t="inlineStr">
        <is>
          <t>Механика</t>
        </is>
      </c>
      <c r="AX36" t="inlineStr">
        <is>
          <t>Komatsu</t>
        </is>
      </c>
      <c r="AY36" t="inlineStr">
        <is>
          <t>Komatsu</t>
        </is>
      </c>
      <c r="AZ36" t="n">
        <v>2202.38</v>
      </c>
      <c r="BA36" t="n">
        <v>1101.19</v>
      </c>
      <c r="BB36" t="n">
        <v>2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</row>
    <row r="37">
      <c r="B37" t="inlineStr">
        <is>
          <t>АО "Полюс Вернинское"</t>
        </is>
      </c>
      <c r="C37" t="inlineStr">
        <is>
          <t>Бульдозеры</t>
        </is>
      </c>
      <c r="D37" t="inlineStr">
        <is>
          <t>Бульдозеры</t>
        </is>
      </c>
      <c r="E37" t="inlineStr">
        <is>
          <t>OPEX (ремонты и ТО)</t>
        </is>
      </c>
      <c r="F37" t="inlineStr">
        <is>
          <t>Бульдозер гусеничный D155A-5 №1412</t>
        </is>
      </c>
      <c r="G37" t="inlineStr">
        <is>
          <t>100000009144</t>
        </is>
      </c>
      <c r="H37" t="inlineStr">
        <is>
          <t>1412</t>
        </is>
      </c>
      <c r="I37" t="inlineStr">
        <is>
          <t>Бульдозер гусеничный D155A-5 №1412</t>
        </is>
      </c>
      <c r="J37" t="inlineStr">
        <is>
          <t>03-RUD-UVSP-BZ06</t>
        </is>
      </c>
      <c r="K37" t="inlineStr">
        <is>
          <t>01.06.2014</t>
        </is>
      </c>
      <c r="L37" t="inlineStr">
        <is>
          <t>#</t>
        </is>
      </c>
      <c r="M37" t="inlineStr">
        <is>
          <t>01.01.2028</t>
        </is>
      </c>
      <c r="N37" t="inlineStr">
        <is>
          <t>1102737701</t>
        </is>
      </c>
      <c r="O37" t="inlineStr">
        <is>
          <t>ТР ходовая D155A-5 №1412</t>
        </is>
      </c>
      <c r="P37" t="inlineStr">
        <is>
          <t>#</t>
        </is>
      </c>
      <c r="Q37" t="inlineStr">
        <is>
          <t>18.08.2027</t>
        </is>
      </c>
      <c r="R37" t="inlineStr">
        <is>
          <t>19.08.2027</t>
        </is>
      </c>
      <c r="S37" t="inlineStr">
        <is>
          <t>Хоз.способ</t>
        </is>
      </c>
      <c r="T37" t="inlineStr">
        <is>
          <t>XS</t>
        </is>
      </c>
      <c r="U37" t="inlineStr">
        <is>
          <t>ДМНП  ОТКР  ПКАЛ  ОБСЗ</t>
        </is>
      </c>
      <c r="V37" t="inlineStr">
        <is>
          <t>ПТОГ  СГГС  ГОД  МТРЦ</t>
        </is>
      </c>
      <c r="W37" t="inlineStr">
        <is>
          <t>Участок по ТОиР ТТ б</t>
        </is>
      </c>
      <c r="X37" t="inlineStr">
        <is>
          <t>APP1</t>
        </is>
      </c>
      <c r="Y37" t="inlineStr">
        <is>
          <t>ТОРО по ППР</t>
        </is>
      </c>
      <c r="Z37" t="inlineStr">
        <is>
          <t>Текущий ремонт</t>
        </is>
      </c>
      <c r="AA37" t="inlineStr">
        <is>
          <t>ТР</t>
        </is>
      </c>
      <c r="AB37" t="inlineStr">
        <is>
          <t>АТЦ_парк бульдозеров Komatsu D-155</t>
        </is>
      </c>
      <c r="AC37" t="inlineStr">
        <is>
          <t>АТЦ_парк бульдозеров Komatsu D-155</t>
        </is>
      </c>
      <c r="AD37" t="inlineStr">
        <is>
          <t>D155A-5</t>
        </is>
      </c>
      <c r="AE37" t="inlineStr">
        <is>
          <t>Отбой.17A-27-11621 Komatsu</t>
        </is>
      </c>
      <c r="AF37" t="inlineStr">
        <is>
          <t>653283</t>
        </is>
      </c>
      <c r="AG37" t="inlineStr">
        <is>
          <t>17A-27-11621</t>
        </is>
      </c>
      <c r="AH37" t="inlineStr">
        <is>
          <t>18.08.2027</t>
        </is>
      </c>
      <c r="AI37" t="inlineStr">
        <is>
          <t>#</t>
        </is>
      </c>
      <c r="AJ37" t="inlineStr">
        <is>
          <t>X</t>
        </is>
      </c>
      <c r="AK37" t="inlineStr">
        <is>
          <t>Калькуляц.: 100% релеван.</t>
        </is>
      </c>
      <c r="AL37" t="inlineStr">
        <is>
          <t>12.08.2026</t>
        </is>
      </c>
      <c r="AM37" t="inlineStr">
        <is>
          <t>Зап. к бульд.Komatsu</t>
        </is>
      </c>
      <c r="AN37" t="inlineStr">
        <is>
          <t>3.4.1.2</t>
        </is>
      </c>
      <c r="AO37" t="inlineStr">
        <is>
          <t>3I2</t>
        </is>
      </c>
      <c r="AP37" t="inlineStr">
        <is>
          <t>Полячкин Д.С.</t>
        </is>
      </c>
      <c r="AQ37" t="inlineStr">
        <is>
          <t>Начиная с деблокир.</t>
        </is>
      </c>
      <c r="AR37" t="inlineStr">
        <is>
          <t>Не срочная потребнос</t>
        </is>
      </c>
      <c r="AS37" t="inlineStr">
        <is>
          <t>L</t>
        </is>
      </c>
      <c r="AT37" t="inlineStr">
        <is>
          <t>Складская позиция</t>
        </is>
      </c>
      <c r="AU37" t="inlineStr">
        <is>
          <t>АО «Развитие» Иркутс</t>
        </is>
      </c>
      <c r="AV37" t="inlineStr">
        <is>
          <t>7102/100</t>
        </is>
      </c>
      <c r="AW37" t="inlineStr">
        <is>
          <t>Механика</t>
        </is>
      </c>
      <c r="AX37" t="inlineStr">
        <is>
          <t>Komatsu</t>
        </is>
      </c>
      <c r="AY37" t="inlineStr">
        <is>
          <t>Komatsu</t>
        </is>
      </c>
      <c r="AZ37" t="n">
        <v>132588.52</v>
      </c>
      <c r="BA37" t="n">
        <v>132588.52</v>
      </c>
      <c r="BB37" t="n">
        <v>1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</row>
    <row r="38">
      <c r="B38" t="inlineStr">
        <is>
          <t>АО "Полюс Вернинское"</t>
        </is>
      </c>
      <c r="C38" t="inlineStr">
        <is>
          <t>Бульдозеры</t>
        </is>
      </c>
      <c r="D38" t="inlineStr">
        <is>
          <t>Бульдозеры</t>
        </is>
      </c>
      <c r="E38" t="inlineStr">
        <is>
          <t>OPEX (ремонты и ТО)</t>
        </is>
      </c>
      <c r="F38" t="inlineStr">
        <is>
          <t>Бульдозер гусеничный D155A-5 №1412</t>
        </is>
      </c>
      <c r="G38" t="inlineStr">
        <is>
          <t>100000009144</t>
        </is>
      </c>
      <c r="H38" t="inlineStr">
        <is>
          <t>1412</t>
        </is>
      </c>
      <c r="I38" t="inlineStr">
        <is>
          <t>Бульдозер гусеничный D155A-5 №1412</t>
        </is>
      </c>
      <c r="J38" t="inlineStr">
        <is>
          <t>03-RUD-UVSP-BZ06</t>
        </is>
      </c>
      <c r="K38" t="inlineStr">
        <is>
          <t>01.06.2014</t>
        </is>
      </c>
      <c r="L38" t="inlineStr">
        <is>
          <t>#</t>
        </is>
      </c>
      <c r="M38" t="inlineStr">
        <is>
          <t>01.01.2028</t>
        </is>
      </c>
      <c r="N38" t="inlineStr">
        <is>
          <t>1102737701</t>
        </is>
      </c>
      <c r="O38" t="inlineStr">
        <is>
          <t>ТР ходовая D155A-5 №1412</t>
        </is>
      </c>
      <c r="P38" t="inlineStr">
        <is>
          <t>#</t>
        </is>
      </c>
      <c r="Q38" t="inlineStr">
        <is>
          <t>18.08.2027</t>
        </is>
      </c>
      <c r="R38" t="inlineStr">
        <is>
          <t>19.08.2027</t>
        </is>
      </c>
      <c r="S38" t="inlineStr">
        <is>
          <t>Хоз.способ</t>
        </is>
      </c>
      <c r="T38" t="inlineStr">
        <is>
          <t>XS</t>
        </is>
      </c>
      <c r="U38" t="inlineStr">
        <is>
          <t>ДМНП  ОТКР  ПКАЛ  ОБСЗ</t>
        </is>
      </c>
      <c r="V38" t="inlineStr">
        <is>
          <t>ПТОГ  СГГС  ГОД  МТРЦ</t>
        </is>
      </c>
      <c r="W38" t="inlineStr">
        <is>
          <t>Участок по ТОиР ТТ б</t>
        </is>
      </c>
      <c r="X38" t="inlineStr">
        <is>
          <t>APP1</t>
        </is>
      </c>
      <c r="Y38" t="inlineStr">
        <is>
          <t>ТОРО по ППР</t>
        </is>
      </c>
      <c r="Z38" t="inlineStr">
        <is>
          <t>Текущий ремонт</t>
        </is>
      </c>
      <c r="AA38" t="inlineStr">
        <is>
          <t>ТР</t>
        </is>
      </c>
      <c r="AB38" t="inlineStr">
        <is>
          <t>АТЦ_парк бульдозеров Komatsu D-155</t>
        </is>
      </c>
      <c r="AC38" t="inlineStr">
        <is>
          <t>АТЦ_парк бульдозеров Komatsu D-155</t>
        </is>
      </c>
      <c r="AD38" t="inlineStr">
        <is>
          <t>D155A-5</t>
        </is>
      </c>
      <c r="AE38" t="inlineStr">
        <is>
          <t>Палец 17A-50-12391 Komatsu</t>
        </is>
      </c>
      <c r="AF38" t="inlineStr">
        <is>
          <t>635044</t>
        </is>
      </c>
      <c r="AG38" t="inlineStr">
        <is>
          <t>17A-50-12391</t>
        </is>
      </c>
      <c r="AH38" t="inlineStr">
        <is>
          <t>18.08.2027</t>
        </is>
      </c>
      <c r="AI38" t="inlineStr">
        <is>
          <t>#</t>
        </is>
      </c>
      <c r="AJ38" t="inlineStr">
        <is>
          <t>X</t>
        </is>
      </c>
      <c r="AK38" t="inlineStr">
        <is>
          <t>Калькуляц.: 100% релеван.</t>
        </is>
      </c>
      <c r="AL38" t="inlineStr">
        <is>
          <t>12.08.2026</t>
        </is>
      </c>
      <c r="AM38" t="inlineStr">
        <is>
          <t>Элем.ход.сис.гус.тех</t>
        </is>
      </c>
      <c r="AN38" t="inlineStr">
        <is>
          <t>3.19.4</t>
        </is>
      </c>
      <c r="AO38" t="inlineStr">
        <is>
          <t>3H3</t>
        </is>
      </c>
      <c r="AP38" t="inlineStr">
        <is>
          <t>Риттер И.В.</t>
        </is>
      </c>
      <c r="AQ38" t="inlineStr">
        <is>
          <t>Начиная с деблокир.</t>
        </is>
      </c>
      <c r="AR38" t="inlineStr">
        <is>
          <t>Не срочная потребнос</t>
        </is>
      </c>
      <c r="AS38" t="inlineStr">
        <is>
          <t>L</t>
        </is>
      </c>
      <c r="AT38" t="inlineStr">
        <is>
          <t>Складская позиция</t>
        </is>
      </c>
      <c r="AU38" t="inlineStr">
        <is>
          <t>АО «Развитие» Иркутс</t>
        </is>
      </c>
      <c r="AV38" t="inlineStr">
        <is>
          <t>7102/100</t>
        </is>
      </c>
      <c r="AW38" t="inlineStr">
        <is>
          <t>Механика</t>
        </is>
      </c>
      <c r="AX38" t="inlineStr">
        <is>
          <t>Komatsu</t>
        </is>
      </c>
      <c r="AY38" t="inlineStr">
        <is>
          <t>Komatsu</t>
        </is>
      </c>
      <c r="AZ38" t="n">
        <v>88007.38</v>
      </c>
      <c r="BA38" t="n">
        <v>44003.69</v>
      </c>
      <c r="BB38" t="n">
        <v>2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</row>
    <row r="39">
      <c r="B39" t="inlineStr">
        <is>
          <t>АО "Полюс Вернинское"</t>
        </is>
      </c>
      <c r="C39" t="inlineStr">
        <is>
          <t>Бульдозеры</t>
        </is>
      </c>
      <c r="D39" t="inlineStr">
        <is>
          <t>Бульдозеры</t>
        </is>
      </c>
      <c r="E39" t="inlineStr">
        <is>
          <t>OPEX (ремонты и ТО)</t>
        </is>
      </c>
      <c r="F39" t="inlineStr">
        <is>
          <t>Бульдозер гусеничный D155A-5 №1412</t>
        </is>
      </c>
      <c r="G39" t="inlineStr">
        <is>
          <t>100000009144</t>
        </is>
      </c>
      <c r="H39" t="inlineStr">
        <is>
          <t>1412</t>
        </is>
      </c>
      <c r="I39" t="inlineStr">
        <is>
          <t>Бульдозер гусеничный D155A-5 №1412</t>
        </is>
      </c>
      <c r="J39" t="inlineStr">
        <is>
          <t>03-RUD-UVSP-BZ06</t>
        </is>
      </c>
      <c r="K39" t="inlineStr">
        <is>
          <t>01.06.2014</t>
        </is>
      </c>
      <c r="L39" t="inlineStr">
        <is>
          <t>#</t>
        </is>
      </c>
      <c r="M39" t="inlineStr">
        <is>
          <t>01.01.2028</t>
        </is>
      </c>
      <c r="N39" t="inlineStr">
        <is>
          <t>1102737701</t>
        </is>
      </c>
      <c r="O39" t="inlineStr">
        <is>
          <t>ТР ходовая D155A-5 №1412</t>
        </is>
      </c>
      <c r="P39" t="inlineStr">
        <is>
          <t>#</t>
        </is>
      </c>
      <c r="Q39" t="inlineStr">
        <is>
          <t>18.08.2027</t>
        </is>
      </c>
      <c r="R39" t="inlineStr">
        <is>
          <t>19.08.2027</t>
        </is>
      </c>
      <c r="S39" t="inlineStr">
        <is>
          <t>Хоз.способ</t>
        </is>
      </c>
      <c r="T39" t="inlineStr">
        <is>
          <t>XS</t>
        </is>
      </c>
      <c r="U39" t="inlineStr">
        <is>
          <t>ДМНП  ОТКР  ПКАЛ  ОБСЗ</t>
        </is>
      </c>
      <c r="V39" t="inlineStr">
        <is>
          <t>ПТОГ  СГГС  ГОД  МТРЦ</t>
        </is>
      </c>
      <c r="W39" t="inlineStr">
        <is>
          <t>Участок по ТОиР ТТ б</t>
        </is>
      </c>
      <c r="X39" t="inlineStr">
        <is>
          <t>APP1</t>
        </is>
      </c>
      <c r="Y39" t="inlineStr">
        <is>
          <t>ТОРО по ППР</t>
        </is>
      </c>
      <c r="Z39" t="inlineStr">
        <is>
          <t>Текущий ремонт</t>
        </is>
      </c>
      <c r="AA39" t="inlineStr">
        <is>
          <t>ТР</t>
        </is>
      </c>
      <c r="AB39" t="inlineStr">
        <is>
          <t>АТЦ_парк бульдозеров Komatsu D-155</t>
        </is>
      </c>
      <c r="AC39" t="inlineStr">
        <is>
          <t>АТЦ_парк бульдозеров Komatsu D-155</t>
        </is>
      </c>
      <c r="AD39" t="inlineStr">
        <is>
          <t>D155A-5</t>
        </is>
      </c>
      <c r="AE39" t="inlineStr">
        <is>
          <t>Палец СБ 17A-30-00061 Komatsu</t>
        </is>
      </c>
      <c r="AF39" t="inlineStr">
        <is>
          <t>617505</t>
        </is>
      </c>
      <c r="AG39" t="inlineStr">
        <is>
          <t>17A-30-00061</t>
        </is>
      </c>
      <c r="AH39" t="inlineStr">
        <is>
          <t>18.08.2027</t>
        </is>
      </c>
      <c r="AI39" t="inlineStr">
        <is>
          <t>#</t>
        </is>
      </c>
      <c r="AJ39" t="inlineStr">
        <is>
          <t>X</t>
        </is>
      </c>
      <c r="AK39" t="inlineStr">
        <is>
          <t>Калькуляц.: 100% релеван.</t>
        </is>
      </c>
      <c r="AL39" t="inlineStr">
        <is>
          <t>12.08.2026</t>
        </is>
      </c>
      <c r="AM39" t="inlineStr">
        <is>
          <t>Элем.ход.сис.гус.тех</t>
        </is>
      </c>
      <c r="AN39" t="inlineStr">
        <is>
          <t>3.19.4</t>
        </is>
      </c>
      <c r="AO39" t="inlineStr">
        <is>
          <t>3H3</t>
        </is>
      </c>
      <c r="AP39" t="inlineStr">
        <is>
          <t>Риттер И.В.</t>
        </is>
      </c>
      <c r="AQ39" t="inlineStr">
        <is>
          <t>Начиная с деблокир.</t>
        </is>
      </c>
      <c r="AR39" t="inlineStr">
        <is>
          <t>Не срочная потребнос</t>
        </is>
      </c>
      <c r="AS39" t="inlineStr">
        <is>
          <t>L</t>
        </is>
      </c>
      <c r="AT39" t="inlineStr">
        <is>
          <t>Складская позиция</t>
        </is>
      </c>
      <c r="AU39" t="inlineStr">
        <is>
          <t>АО «Развитие» Иркутс</t>
        </is>
      </c>
      <c r="AV39" t="inlineStr">
        <is>
          <t>7102/100</t>
        </is>
      </c>
      <c r="AW39" t="inlineStr">
        <is>
          <t>Механика</t>
        </is>
      </c>
      <c r="AX39" t="inlineStr">
        <is>
          <t>Komatsu</t>
        </is>
      </c>
      <c r="AY39" t="inlineStr">
        <is>
          <t>Komatsu</t>
        </is>
      </c>
      <c r="AZ39" t="n">
        <v>1775097.6</v>
      </c>
      <c r="BA39" t="n">
        <v>295849.6</v>
      </c>
      <c r="BB39" t="n">
        <v>6</v>
      </c>
      <c r="BC39" t="n">
        <v>0</v>
      </c>
      <c r="BD39" t="n">
        <v>0</v>
      </c>
      <c r="BF39" t="n">
        <v>0</v>
      </c>
      <c r="BG39" t="n">
        <v>0</v>
      </c>
      <c r="BH39" t="n">
        <v>0</v>
      </c>
    </row>
    <row r="40">
      <c r="B40" t="inlineStr">
        <is>
          <t>АО "Полюс Вернинское"</t>
        </is>
      </c>
      <c r="C40" t="inlineStr">
        <is>
          <t>Бульдозеры</t>
        </is>
      </c>
      <c r="D40" t="inlineStr">
        <is>
          <t>Бульдозеры</t>
        </is>
      </c>
      <c r="E40" t="inlineStr">
        <is>
          <t>OPEX (ремонты и ТО)</t>
        </is>
      </c>
      <c r="F40" t="inlineStr">
        <is>
          <t>Бульдозер гусеничный D155A-5 №1412</t>
        </is>
      </c>
      <c r="G40" t="inlineStr">
        <is>
          <t>100000009144</t>
        </is>
      </c>
      <c r="H40" t="inlineStr">
        <is>
          <t>1412</t>
        </is>
      </c>
      <c r="I40" t="inlineStr">
        <is>
          <t>Бульдозер гусеничный D155A-5 №1412</t>
        </is>
      </c>
      <c r="J40" t="inlineStr">
        <is>
          <t>03-RUD-UVSP-BZ06</t>
        </is>
      </c>
      <c r="K40" t="inlineStr">
        <is>
          <t>01.06.2014</t>
        </is>
      </c>
      <c r="L40" t="inlineStr">
        <is>
          <t>#</t>
        </is>
      </c>
      <c r="M40" t="inlineStr">
        <is>
          <t>01.01.2028</t>
        </is>
      </c>
      <c r="N40" t="inlineStr">
        <is>
          <t>1102737701</t>
        </is>
      </c>
      <c r="O40" t="inlineStr">
        <is>
          <t>ТР ходовая D155A-5 №1412</t>
        </is>
      </c>
      <c r="P40" t="inlineStr">
        <is>
          <t>#</t>
        </is>
      </c>
      <c r="Q40" t="inlineStr">
        <is>
          <t>18.08.2027</t>
        </is>
      </c>
      <c r="R40" t="inlineStr">
        <is>
          <t>19.08.2027</t>
        </is>
      </c>
      <c r="S40" t="inlineStr">
        <is>
          <t>Хоз.способ</t>
        </is>
      </c>
      <c r="T40" t="inlineStr">
        <is>
          <t>XS</t>
        </is>
      </c>
      <c r="U40" t="inlineStr">
        <is>
          <t>ДМНП  ОТКР  ПКАЛ  ОБСЗ</t>
        </is>
      </c>
      <c r="V40" t="inlineStr">
        <is>
          <t>ПТОГ  СГГС  ГОД  МТРЦ</t>
        </is>
      </c>
      <c r="W40" t="inlineStr">
        <is>
          <t>Участок по ТОиР ТТ б</t>
        </is>
      </c>
      <c r="X40" t="inlineStr">
        <is>
          <t>APP1</t>
        </is>
      </c>
      <c r="Y40" t="inlineStr">
        <is>
          <t>ТОРО по ППР</t>
        </is>
      </c>
      <c r="Z40" t="inlineStr">
        <is>
          <t>Текущий ремонт</t>
        </is>
      </c>
      <c r="AA40" t="inlineStr">
        <is>
          <t>ТР</t>
        </is>
      </c>
      <c r="AB40" t="inlineStr">
        <is>
          <t>АТЦ_парк бульдозеров Komatsu D-155</t>
        </is>
      </c>
      <c r="AC40" t="inlineStr">
        <is>
          <t>АТЦ_парк бульдозеров Komatsu D-155</t>
        </is>
      </c>
      <c r="AD40" t="inlineStr">
        <is>
          <t>D155A-5</t>
        </is>
      </c>
      <c r="AE40" t="inlineStr">
        <is>
          <t>Палец шарнир.17A-50-12510 Komatsu</t>
        </is>
      </c>
      <c r="AF40" t="inlineStr">
        <is>
          <t>653516</t>
        </is>
      </c>
      <c r="AG40" t="inlineStr">
        <is>
          <t>17A-50-12510</t>
        </is>
      </c>
      <c r="AH40" t="inlineStr">
        <is>
          <t>18.08.2027</t>
        </is>
      </c>
      <c r="AI40" t="inlineStr">
        <is>
          <t>#</t>
        </is>
      </c>
      <c r="AJ40" t="inlineStr">
        <is>
          <t>X</t>
        </is>
      </c>
      <c r="AK40" t="inlineStr">
        <is>
          <t>Калькуляц.: 100% релеван.</t>
        </is>
      </c>
      <c r="AL40" t="inlineStr">
        <is>
          <t>12.08.2026</t>
        </is>
      </c>
      <c r="AM40" t="inlineStr">
        <is>
          <t>Элем.ход.сис.гус.тех</t>
        </is>
      </c>
      <c r="AN40" t="inlineStr">
        <is>
          <t>3.19.4</t>
        </is>
      </c>
      <c r="AO40" t="inlineStr">
        <is>
          <t>3H3</t>
        </is>
      </c>
      <c r="AP40" t="inlineStr">
        <is>
          <t>Риттер И.В.</t>
        </is>
      </c>
      <c r="AQ40" t="inlineStr">
        <is>
          <t>Начиная с деблокир.</t>
        </is>
      </c>
      <c r="AR40" t="inlineStr">
        <is>
          <t>Не срочная потребнос</t>
        </is>
      </c>
      <c r="AS40" t="inlineStr">
        <is>
          <t>L</t>
        </is>
      </c>
      <c r="AT40" t="inlineStr">
        <is>
          <t>Складская позиция</t>
        </is>
      </c>
      <c r="AU40" t="inlineStr">
        <is>
          <t>АО «Развитие» Иркутс</t>
        </is>
      </c>
      <c r="AV40" t="inlineStr">
        <is>
          <t>7102/100</t>
        </is>
      </c>
      <c r="AW40" t="inlineStr">
        <is>
          <t>Механика</t>
        </is>
      </c>
      <c r="AX40" t="inlineStr">
        <is>
          <t>Komatsu</t>
        </is>
      </c>
      <c r="AY40" t="inlineStr">
        <is>
          <t>Komatsu</t>
        </is>
      </c>
      <c r="AZ40" t="n">
        <v>56398.15</v>
      </c>
      <c r="BA40" t="n">
        <v>56398.15</v>
      </c>
      <c r="BB40" t="n">
        <v>1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</row>
    <row r="41">
      <c r="B41" t="inlineStr">
        <is>
          <t>АО "Полюс Вернинское"</t>
        </is>
      </c>
      <c r="C41" t="inlineStr">
        <is>
          <t>Бульдозеры</t>
        </is>
      </c>
      <c r="D41" t="inlineStr">
        <is>
          <t>Бульдозеры</t>
        </is>
      </c>
      <c r="E41" t="inlineStr">
        <is>
          <t>OPEX (ремонты и ТО)</t>
        </is>
      </c>
      <c r="F41" t="inlineStr">
        <is>
          <t>Бульдозер гусеничный D155A-5 №1412</t>
        </is>
      </c>
      <c r="G41" t="inlineStr">
        <is>
          <t>100000009144</t>
        </is>
      </c>
      <c r="H41" t="inlineStr">
        <is>
          <t>1412</t>
        </is>
      </c>
      <c r="I41" t="inlineStr">
        <is>
          <t>Бульдозер гусеничный D155A-5 №1412</t>
        </is>
      </c>
      <c r="J41" t="inlineStr">
        <is>
          <t>03-RUD-UVSP-BZ06</t>
        </is>
      </c>
      <c r="K41" t="inlineStr">
        <is>
          <t>01.06.2014</t>
        </is>
      </c>
      <c r="L41" t="inlineStr">
        <is>
          <t>#</t>
        </is>
      </c>
      <c r="M41" t="inlineStr">
        <is>
          <t>01.01.2028</t>
        </is>
      </c>
      <c r="N41" t="inlineStr">
        <is>
          <t>1102737701</t>
        </is>
      </c>
      <c r="O41" t="inlineStr">
        <is>
          <t>ТР ходовая D155A-5 №1412</t>
        </is>
      </c>
      <c r="P41" t="inlineStr">
        <is>
          <t>#</t>
        </is>
      </c>
      <c r="Q41" t="inlineStr">
        <is>
          <t>18.08.2027</t>
        </is>
      </c>
      <c r="R41" t="inlineStr">
        <is>
          <t>19.08.2027</t>
        </is>
      </c>
      <c r="S41" t="inlineStr">
        <is>
          <t>Хоз.способ</t>
        </is>
      </c>
      <c r="T41" t="inlineStr">
        <is>
          <t>XS</t>
        </is>
      </c>
      <c r="U41" t="inlineStr">
        <is>
          <t>ДМНП  ОТКР  ПКАЛ  ОБСЗ</t>
        </is>
      </c>
      <c r="V41" t="inlineStr">
        <is>
          <t>ПТОГ  СГГС  ГОД  МТРЦ</t>
        </is>
      </c>
      <c r="W41" t="inlineStr">
        <is>
          <t>Участок по ТОиР ТТ б</t>
        </is>
      </c>
      <c r="X41" t="inlineStr">
        <is>
          <t>APP1</t>
        </is>
      </c>
      <c r="Y41" t="inlineStr">
        <is>
          <t>ТОРО по ППР</t>
        </is>
      </c>
      <c r="Z41" t="inlineStr">
        <is>
          <t>Текущий ремонт</t>
        </is>
      </c>
      <c r="AA41" t="inlineStr">
        <is>
          <t>ТР</t>
        </is>
      </c>
      <c r="AB41" t="inlineStr">
        <is>
          <t>АТЦ_парк бульдозеров Komatsu D-155</t>
        </is>
      </c>
      <c r="AC41" t="inlineStr">
        <is>
          <t>АТЦ_парк бульдозеров Komatsu D-155</t>
        </is>
      </c>
      <c r="AD41" t="inlineStr">
        <is>
          <t>D155A-5</t>
        </is>
      </c>
      <c r="AE41" t="inlineStr">
        <is>
          <t>Порш.17A-30-14340 Komatsu</t>
        </is>
      </c>
      <c r="AF41" t="inlineStr">
        <is>
          <t>734981</t>
        </is>
      </c>
      <c r="AG41" t="inlineStr">
        <is>
          <t>17A-30-14340</t>
        </is>
      </c>
      <c r="AH41" t="inlineStr">
        <is>
          <t>18.08.2027</t>
        </is>
      </c>
      <c r="AI41" t="inlineStr">
        <is>
          <t>#</t>
        </is>
      </c>
      <c r="AJ41" t="inlineStr">
        <is>
          <t>X</t>
        </is>
      </c>
      <c r="AK41" t="inlineStr">
        <is>
          <t>Калькуляц.: 100% релеван.</t>
        </is>
      </c>
      <c r="AL41" t="inlineStr">
        <is>
          <t>12.08.2026</t>
        </is>
      </c>
      <c r="AM41" t="inlineStr">
        <is>
          <t>Зап. экск. Komatsu</t>
        </is>
      </c>
      <c r="AN41" t="inlineStr">
        <is>
          <t>3.1.2.1</t>
        </is>
      </c>
      <c r="AO41" t="inlineStr">
        <is>
          <t>3I2</t>
        </is>
      </c>
      <c r="AP41" t="inlineStr">
        <is>
          <t>Полячкин Д.С.</t>
        </is>
      </c>
      <c r="AQ41" t="inlineStr">
        <is>
          <t>Начиная с деблокир.</t>
        </is>
      </c>
      <c r="AR41" t="inlineStr">
        <is>
          <t>Не срочная потребнос</t>
        </is>
      </c>
      <c r="AS41" t="inlineStr">
        <is>
          <t>L</t>
        </is>
      </c>
      <c r="AT41" t="inlineStr">
        <is>
          <t>Складская позиция</t>
        </is>
      </c>
      <c r="AU41" t="inlineStr">
        <is>
          <t>АО «Развитие» Иркутс</t>
        </is>
      </c>
      <c r="AV41" t="inlineStr">
        <is>
          <t>7102/100</t>
        </is>
      </c>
      <c r="AW41" t="inlineStr">
        <is>
          <t>Механика</t>
        </is>
      </c>
      <c r="AX41" t="inlineStr">
        <is>
          <t>Komatsu</t>
        </is>
      </c>
      <c r="AY41" t="inlineStr">
        <is>
          <t>Komatsu</t>
        </is>
      </c>
      <c r="AZ41" t="n">
        <v>120484.12</v>
      </c>
      <c r="BA41" t="n">
        <v>30121.03</v>
      </c>
      <c r="BB41" t="n">
        <v>4</v>
      </c>
      <c r="BC41" t="n">
        <v>0</v>
      </c>
      <c r="BD41" t="n">
        <v>0</v>
      </c>
      <c r="BF41" t="n">
        <v>0</v>
      </c>
      <c r="BG41" t="n">
        <v>0</v>
      </c>
      <c r="BH41" t="n">
        <v>0</v>
      </c>
    </row>
    <row r="42">
      <c r="B42" t="inlineStr">
        <is>
          <t>АО "Полюс Вернинское"</t>
        </is>
      </c>
      <c r="C42" t="inlineStr">
        <is>
          <t>Бульдозеры</t>
        </is>
      </c>
      <c r="D42" t="inlineStr">
        <is>
          <t>Бульдозеры</t>
        </is>
      </c>
      <c r="E42" t="inlineStr">
        <is>
          <t>OPEX (ремонты и ТО)</t>
        </is>
      </c>
      <c r="F42" t="inlineStr">
        <is>
          <t>Бульдозер гусеничный D155A-5 №1412</t>
        </is>
      </c>
      <c r="G42" t="inlineStr">
        <is>
          <t>100000009144</t>
        </is>
      </c>
      <c r="H42" t="inlineStr">
        <is>
          <t>1412</t>
        </is>
      </c>
      <c r="I42" t="inlineStr">
        <is>
          <t>Бульдозер гусеничный D155A-5 №1412</t>
        </is>
      </c>
      <c r="J42" t="inlineStr">
        <is>
          <t>03-RUD-UVSP-BZ06</t>
        </is>
      </c>
      <c r="K42" t="inlineStr">
        <is>
          <t>01.06.2014</t>
        </is>
      </c>
      <c r="L42" t="inlineStr">
        <is>
          <t>#</t>
        </is>
      </c>
      <c r="M42" t="inlineStr">
        <is>
          <t>01.01.2028</t>
        </is>
      </c>
      <c r="N42" t="inlineStr">
        <is>
          <t>1102737701</t>
        </is>
      </c>
      <c r="O42" t="inlineStr">
        <is>
          <t>ТР ходовая D155A-5 №1412</t>
        </is>
      </c>
      <c r="P42" t="inlineStr">
        <is>
          <t>#</t>
        </is>
      </c>
      <c r="Q42" t="inlineStr">
        <is>
          <t>18.08.2027</t>
        </is>
      </c>
      <c r="R42" t="inlineStr">
        <is>
          <t>19.08.2027</t>
        </is>
      </c>
      <c r="S42" t="inlineStr">
        <is>
          <t>Хоз.способ</t>
        </is>
      </c>
      <c r="T42" t="inlineStr">
        <is>
          <t>XS</t>
        </is>
      </c>
      <c r="U42" t="inlineStr">
        <is>
          <t>ДМНП  ОТКР  ПКАЛ  ОБСЗ</t>
        </is>
      </c>
      <c r="V42" t="inlineStr">
        <is>
          <t>ПТОГ  СГГС  ГОД  МТРЦ</t>
        </is>
      </c>
      <c r="W42" t="inlineStr">
        <is>
          <t>Участок по ТОиР ТТ б</t>
        </is>
      </c>
      <c r="X42" t="inlineStr">
        <is>
          <t>APP1</t>
        </is>
      </c>
      <c r="Y42" t="inlineStr">
        <is>
          <t>ТОРО по ППР</t>
        </is>
      </c>
      <c r="Z42" t="inlineStr">
        <is>
          <t>Текущий ремонт</t>
        </is>
      </c>
      <c r="AA42" t="inlineStr">
        <is>
          <t>ТР</t>
        </is>
      </c>
      <c r="AB42" t="inlineStr">
        <is>
          <t>АТЦ_парк бульдозеров Komatsu D-155</t>
        </is>
      </c>
      <c r="AC42" t="inlineStr">
        <is>
          <t>АТЦ_парк бульдозеров Komatsu D-155</t>
        </is>
      </c>
      <c r="AD42" t="inlineStr">
        <is>
          <t>D155A-5</t>
        </is>
      </c>
      <c r="AE42" t="inlineStr">
        <is>
          <t>Сальн.17A-50-12291 Komatsu</t>
        </is>
      </c>
      <c r="AF42" t="inlineStr">
        <is>
          <t>712283</t>
        </is>
      </c>
      <c r="AG42" t="inlineStr">
        <is>
          <t>17A-50-12291</t>
        </is>
      </c>
      <c r="AH42" t="inlineStr">
        <is>
          <t>18.08.2027</t>
        </is>
      </c>
      <c r="AI42" t="inlineStr">
        <is>
          <t>#</t>
        </is>
      </c>
      <c r="AJ42" t="inlineStr">
        <is>
          <t>X</t>
        </is>
      </c>
      <c r="AK42" t="inlineStr">
        <is>
          <t>Калькуляц.: 100% релеван.</t>
        </is>
      </c>
      <c r="AL42" t="inlineStr">
        <is>
          <t>12.08.2026</t>
        </is>
      </c>
      <c r="AM42" t="inlineStr">
        <is>
          <t>Зап. к бульд.Komatsu</t>
        </is>
      </c>
      <c r="AN42" t="inlineStr">
        <is>
          <t>3.4.1.2</t>
        </is>
      </c>
      <c r="AO42" t="inlineStr">
        <is>
          <t>3I2</t>
        </is>
      </c>
      <c r="AP42" t="inlineStr">
        <is>
          <t>Полячкин Д.С.</t>
        </is>
      </c>
      <c r="AQ42" t="inlineStr">
        <is>
          <t>Начиная с деблокир.</t>
        </is>
      </c>
      <c r="AR42" t="inlineStr">
        <is>
          <t>Не срочная потребнос</t>
        </is>
      </c>
      <c r="AS42" t="inlineStr">
        <is>
          <t>L</t>
        </is>
      </c>
      <c r="AT42" t="inlineStr">
        <is>
          <t>Складская позиция</t>
        </is>
      </c>
      <c r="AU42" t="inlineStr">
        <is>
          <t>АО «Развитие» Иркутс</t>
        </is>
      </c>
      <c r="AV42" t="inlineStr">
        <is>
          <t>7102/100</t>
        </is>
      </c>
      <c r="AW42" t="inlineStr">
        <is>
          <t>Механика</t>
        </is>
      </c>
      <c r="AX42" t="inlineStr">
        <is>
          <t>Komatsu</t>
        </is>
      </c>
      <c r="AY42" t="inlineStr">
        <is>
          <t>Komatsu</t>
        </is>
      </c>
      <c r="AZ42" t="n">
        <v>46601.84</v>
      </c>
      <c r="BA42" t="n">
        <v>11650.46</v>
      </c>
      <c r="BB42" t="n">
        <v>4</v>
      </c>
      <c r="BC42" t="n">
        <v>0</v>
      </c>
      <c r="BD42" t="n">
        <v>0</v>
      </c>
      <c r="BF42" t="n">
        <v>0</v>
      </c>
      <c r="BG42" t="n">
        <v>0</v>
      </c>
      <c r="BH42" t="n">
        <v>0</v>
      </c>
    </row>
    <row r="43">
      <c r="B43" t="inlineStr">
        <is>
          <t>АО "Полюс Вернинское"</t>
        </is>
      </c>
      <c r="C43" t="inlineStr">
        <is>
          <t>Бульдозеры</t>
        </is>
      </c>
      <c r="D43" t="inlineStr">
        <is>
          <t>Бульдозеры</t>
        </is>
      </c>
      <c r="E43" t="inlineStr">
        <is>
          <t>OPEX (ремонты и ТО)</t>
        </is>
      </c>
      <c r="F43" t="inlineStr">
        <is>
          <t>Бульдозер гусеничный D155A-5 №1412</t>
        </is>
      </c>
      <c r="G43" t="inlineStr">
        <is>
          <t>100000009144</t>
        </is>
      </c>
      <c r="H43" t="inlineStr">
        <is>
          <t>1412</t>
        </is>
      </c>
      <c r="I43" t="inlineStr">
        <is>
          <t>Бульдозер гусеничный D155A-5 №1412</t>
        </is>
      </c>
      <c r="J43" t="inlineStr">
        <is>
          <t>03-RUD-UVSP-BZ06</t>
        </is>
      </c>
      <c r="K43" t="inlineStr">
        <is>
          <t>01.06.2014</t>
        </is>
      </c>
      <c r="L43" t="inlineStr">
        <is>
          <t>#</t>
        </is>
      </c>
      <c r="M43" t="inlineStr">
        <is>
          <t>01.01.2028</t>
        </is>
      </c>
      <c r="N43" t="inlineStr">
        <is>
          <t>1102737701</t>
        </is>
      </c>
      <c r="O43" t="inlineStr">
        <is>
          <t>ТР ходовая D155A-5 №1412</t>
        </is>
      </c>
      <c r="P43" t="inlineStr">
        <is>
          <t>#</t>
        </is>
      </c>
      <c r="Q43" t="inlineStr">
        <is>
          <t>18.08.2027</t>
        </is>
      </c>
      <c r="R43" t="inlineStr">
        <is>
          <t>19.08.2027</t>
        </is>
      </c>
      <c r="S43" t="inlineStr">
        <is>
          <t>Хоз.способ</t>
        </is>
      </c>
      <c r="T43" t="inlineStr">
        <is>
          <t>XS</t>
        </is>
      </c>
      <c r="U43" t="inlineStr">
        <is>
          <t>ДМНП  ОТКР  ПКАЛ  ОБСЗ</t>
        </is>
      </c>
      <c r="V43" t="inlineStr">
        <is>
          <t>ПТОГ  СГГС  ГОД  МТРЦ</t>
        </is>
      </c>
      <c r="W43" t="inlineStr">
        <is>
          <t>Участок по ТОиР ТТ б</t>
        </is>
      </c>
      <c r="X43" t="inlineStr">
        <is>
          <t>APP1</t>
        </is>
      </c>
      <c r="Y43" t="inlineStr">
        <is>
          <t>ТОРО по ППР</t>
        </is>
      </c>
      <c r="Z43" t="inlineStr">
        <is>
          <t>Текущий ремонт</t>
        </is>
      </c>
      <c r="AA43" t="inlineStr">
        <is>
          <t>ТР</t>
        </is>
      </c>
      <c r="AB43" t="inlineStr">
        <is>
          <t>АТЦ_парк бульдозеров Komatsu D-155</t>
        </is>
      </c>
      <c r="AC43" t="inlineStr">
        <is>
          <t>АТЦ_парк бульдозеров Komatsu D-155</t>
        </is>
      </c>
      <c r="AD43" t="inlineStr">
        <is>
          <t>D155A-5</t>
        </is>
      </c>
      <c r="AE43" t="inlineStr">
        <is>
          <t>Сальн.17A-50-12441 Komatsu</t>
        </is>
      </c>
      <c r="AF43" t="inlineStr">
        <is>
          <t>635047</t>
        </is>
      </c>
      <c r="AG43" t="inlineStr">
        <is>
          <t>17A-50-12441</t>
        </is>
      </c>
      <c r="AH43" t="inlineStr">
        <is>
          <t>18.08.2027</t>
        </is>
      </c>
      <c r="AI43" t="inlineStr">
        <is>
          <t>#</t>
        </is>
      </c>
      <c r="AJ43" t="inlineStr">
        <is>
          <t>X</t>
        </is>
      </c>
      <c r="AK43" t="inlineStr">
        <is>
          <t>Калькуляц.: 100% релеван.</t>
        </is>
      </c>
      <c r="AL43" t="inlineStr">
        <is>
          <t>12.08.2026</t>
        </is>
      </c>
      <c r="AM43" t="inlineStr">
        <is>
          <t>Зап. к бульд.Komatsu</t>
        </is>
      </c>
      <c r="AN43" t="inlineStr">
        <is>
          <t>3.4.1.2</t>
        </is>
      </c>
      <c r="AO43" t="inlineStr">
        <is>
          <t>3I2</t>
        </is>
      </c>
      <c r="AP43" t="inlineStr">
        <is>
          <t>Полячкин Д.С.</t>
        </is>
      </c>
      <c r="AQ43" t="inlineStr">
        <is>
          <t>Начиная с деблокир.</t>
        </is>
      </c>
      <c r="AR43" t="inlineStr">
        <is>
          <t>Не срочная потребнос</t>
        </is>
      </c>
      <c r="AS43" t="inlineStr">
        <is>
          <t>L</t>
        </is>
      </c>
      <c r="AT43" t="inlineStr">
        <is>
          <t>Складская позиция</t>
        </is>
      </c>
      <c r="AU43" t="inlineStr">
        <is>
          <t>АО «Развитие» Иркутс</t>
        </is>
      </c>
      <c r="AV43" t="inlineStr">
        <is>
          <t>7102/100</t>
        </is>
      </c>
      <c r="AW43" t="inlineStr">
        <is>
          <t>Механика</t>
        </is>
      </c>
      <c r="AX43" t="inlineStr">
        <is>
          <t>Komatsu</t>
        </is>
      </c>
      <c r="AY43" t="inlineStr">
        <is>
          <t>Komatsu</t>
        </is>
      </c>
      <c r="AZ43" t="n">
        <v>13242.28</v>
      </c>
      <c r="BA43" t="n">
        <v>6621.14</v>
      </c>
      <c r="BB43" t="n">
        <v>2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</row>
    <row r="44">
      <c r="B44" t="inlineStr">
        <is>
          <t>АО "Полюс Вернинское"</t>
        </is>
      </c>
      <c r="C44" t="inlineStr">
        <is>
          <t>Бульдозеры</t>
        </is>
      </c>
      <c r="D44" t="inlineStr">
        <is>
          <t>Бульдозеры</t>
        </is>
      </c>
      <c r="E44" t="inlineStr">
        <is>
          <t>OPEX (ремонты и ТО)</t>
        </is>
      </c>
      <c r="F44" t="inlineStr">
        <is>
          <t>Бульдозер гусеничный D155A-5 №1412</t>
        </is>
      </c>
      <c r="G44" t="inlineStr">
        <is>
          <t>100000009144</t>
        </is>
      </c>
      <c r="H44" t="inlineStr">
        <is>
          <t>1412</t>
        </is>
      </c>
      <c r="I44" t="inlineStr">
        <is>
          <t>Бульдозер гусеничный D155A-5 №1412</t>
        </is>
      </c>
      <c r="J44" t="inlineStr">
        <is>
          <t>03-RUD-UVSP-BZ06</t>
        </is>
      </c>
      <c r="K44" t="inlineStr">
        <is>
          <t>01.06.2014</t>
        </is>
      </c>
      <c r="L44" t="inlineStr">
        <is>
          <t>#</t>
        </is>
      </c>
      <c r="M44" t="inlineStr">
        <is>
          <t>01.01.2028</t>
        </is>
      </c>
      <c r="N44" t="inlineStr">
        <is>
          <t>1102737701</t>
        </is>
      </c>
      <c r="O44" t="inlineStr">
        <is>
          <t>ТР ходовая D155A-5 №1412</t>
        </is>
      </c>
      <c r="P44" t="inlineStr">
        <is>
          <t>#</t>
        </is>
      </c>
      <c r="Q44" t="inlineStr">
        <is>
          <t>18.08.2027</t>
        </is>
      </c>
      <c r="R44" t="inlineStr">
        <is>
          <t>19.08.2027</t>
        </is>
      </c>
      <c r="S44" t="inlineStr">
        <is>
          <t>Хоз.способ</t>
        </is>
      </c>
      <c r="T44" t="inlineStr">
        <is>
          <t>XS</t>
        </is>
      </c>
      <c r="U44" t="inlineStr">
        <is>
          <t>ДМНП  ОТКР  ПКАЛ  ОБСЗ</t>
        </is>
      </c>
      <c r="V44" t="inlineStr">
        <is>
          <t>ПТОГ  СГГС  ГОД  МТРЦ</t>
        </is>
      </c>
      <c r="W44" t="inlineStr">
        <is>
          <t>Участок по ТОиР ТТ б</t>
        </is>
      </c>
      <c r="X44" t="inlineStr">
        <is>
          <t>APP1</t>
        </is>
      </c>
      <c r="Y44" t="inlineStr">
        <is>
          <t>ТОРО по ППР</t>
        </is>
      </c>
      <c r="Z44" t="inlineStr">
        <is>
          <t>Текущий ремонт</t>
        </is>
      </c>
      <c r="AA44" t="inlineStr">
        <is>
          <t>ТР</t>
        </is>
      </c>
      <c r="AB44" t="inlineStr">
        <is>
          <t>АТЦ_парк бульдозеров Komatsu D-155</t>
        </is>
      </c>
      <c r="AC44" t="inlineStr">
        <is>
          <t>АТЦ_парк бульдозеров Komatsu D-155</t>
        </is>
      </c>
      <c r="AD44" t="inlineStr">
        <is>
          <t>D155A-5</t>
        </is>
      </c>
      <c r="AE44" t="inlineStr">
        <is>
          <t>Уплотн.07019-00130 Komatsu</t>
        </is>
      </c>
      <c r="AF44" t="inlineStr">
        <is>
          <t>734978</t>
        </is>
      </c>
      <c r="AG44" t="inlineStr">
        <is>
          <t>07019-00130</t>
        </is>
      </c>
      <c r="AH44" t="inlineStr">
        <is>
          <t>18.08.2027</t>
        </is>
      </c>
      <c r="AI44" t="inlineStr">
        <is>
          <t>#</t>
        </is>
      </c>
      <c r="AJ44" t="inlineStr">
        <is>
          <t>X</t>
        </is>
      </c>
      <c r="AK44" t="inlineStr">
        <is>
          <t>Калькуляц.: 100% релеван.</t>
        </is>
      </c>
      <c r="AL44" t="inlineStr">
        <is>
          <t>12.08.2026</t>
        </is>
      </c>
      <c r="AM44" t="inlineStr">
        <is>
          <t>Зап. экск. Komatsu</t>
        </is>
      </c>
      <c r="AN44" t="inlineStr">
        <is>
          <t>3.1.2.1</t>
        </is>
      </c>
      <c r="AO44" t="inlineStr">
        <is>
          <t>3I2</t>
        </is>
      </c>
      <c r="AP44" t="inlineStr">
        <is>
          <t>Полячкин Д.С.</t>
        </is>
      </c>
      <c r="AQ44" t="inlineStr">
        <is>
          <t>Начиная с деблокир.</t>
        </is>
      </c>
      <c r="AR44" t="inlineStr">
        <is>
          <t>Не срочная потребнос</t>
        </is>
      </c>
      <c r="AS44" t="inlineStr">
        <is>
          <t>L</t>
        </is>
      </c>
      <c r="AT44" t="inlineStr">
        <is>
          <t>Складская позиция</t>
        </is>
      </c>
      <c r="AU44" t="inlineStr">
        <is>
          <t>АО «Развитие» Иркутс</t>
        </is>
      </c>
      <c r="AV44" t="inlineStr">
        <is>
          <t>7102/100</t>
        </is>
      </c>
      <c r="AW44" t="inlineStr">
        <is>
          <t>Механика</t>
        </is>
      </c>
      <c r="AX44" t="inlineStr">
        <is>
          <t>Komatsu</t>
        </is>
      </c>
      <c r="AY44" t="inlineStr">
        <is>
          <t>Komatsu</t>
        </is>
      </c>
      <c r="AZ44" t="n">
        <v>49641.36</v>
      </c>
      <c r="BA44" t="n">
        <v>12410.34</v>
      </c>
      <c r="BB44" t="n">
        <v>4</v>
      </c>
      <c r="BC44" t="n">
        <v>0</v>
      </c>
      <c r="BD44" t="n">
        <v>0</v>
      </c>
      <c r="BF44" t="n">
        <v>0</v>
      </c>
      <c r="BG44" t="n">
        <v>0</v>
      </c>
      <c r="BH44" t="n">
        <v>0</v>
      </c>
    </row>
    <row r="45">
      <c r="B45" t="inlineStr">
        <is>
          <t>АО "Полюс Вернинское"</t>
        </is>
      </c>
      <c r="C45" t="inlineStr">
        <is>
          <t>Бульдозеры</t>
        </is>
      </c>
      <c r="D45" t="inlineStr">
        <is>
          <t>Бульдозеры</t>
        </is>
      </c>
      <c r="E45" t="inlineStr">
        <is>
          <t>OPEX (ремонты и ТО)</t>
        </is>
      </c>
      <c r="F45" t="inlineStr">
        <is>
          <t>Бульдозер гусеничный D155A-5 №1412</t>
        </is>
      </c>
      <c r="G45" t="inlineStr">
        <is>
          <t>100000009144</t>
        </is>
      </c>
      <c r="H45" t="inlineStr">
        <is>
          <t>1412</t>
        </is>
      </c>
      <c r="I45" t="inlineStr">
        <is>
          <t>Бульдозер гусеничный D155A-5 №1412</t>
        </is>
      </c>
      <c r="J45" t="inlineStr">
        <is>
          <t>03-RUD-UVSP-BZ06</t>
        </is>
      </c>
      <c r="K45" t="inlineStr">
        <is>
          <t>01.06.2014</t>
        </is>
      </c>
      <c r="L45" t="inlineStr">
        <is>
          <t>#</t>
        </is>
      </c>
      <c r="M45" t="inlineStr">
        <is>
          <t>01.01.2028</t>
        </is>
      </c>
      <c r="N45" t="inlineStr">
        <is>
          <t>1102737701</t>
        </is>
      </c>
      <c r="O45" t="inlineStr">
        <is>
          <t>ТР ходовая D155A-5 №1412</t>
        </is>
      </c>
      <c r="P45" t="inlineStr">
        <is>
          <t>#</t>
        </is>
      </c>
      <c r="Q45" t="inlineStr">
        <is>
          <t>18.08.2027</t>
        </is>
      </c>
      <c r="R45" t="inlineStr">
        <is>
          <t>19.08.2027</t>
        </is>
      </c>
      <c r="S45" t="inlineStr">
        <is>
          <t>Хоз.способ</t>
        </is>
      </c>
      <c r="T45" t="inlineStr">
        <is>
          <t>XS</t>
        </is>
      </c>
      <c r="U45" t="inlineStr">
        <is>
          <t>ДМНП  ОТКР  ПКАЛ  ОБСЗ</t>
        </is>
      </c>
      <c r="V45" t="inlineStr">
        <is>
          <t>ПТОГ  СГГС  ГОД  МТРЦ</t>
        </is>
      </c>
      <c r="W45" t="inlineStr">
        <is>
          <t>Участок по ТОиР ТТ б</t>
        </is>
      </c>
      <c r="X45" t="inlineStr">
        <is>
          <t>APP1</t>
        </is>
      </c>
      <c r="Y45" t="inlineStr">
        <is>
          <t>ТОРО по ППР</t>
        </is>
      </c>
      <c r="Z45" t="inlineStr">
        <is>
          <t>Текущий ремонт</t>
        </is>
      </c>
      <c r="AA45" t="inlineStr">
        <is>
          <t>ТР</t>
        </is>
      </c>
      <c r="AB45" t="inlineStr">
        <is>
          <t>АТЦ_парк бульдозеров Komatsu D-155</t>
        </is>
      </c>
      <c r="AC45" t="inlineStr">
        <is>
          <t>АТЦ_парк бульдозеров Komatsu D-155</t>
        </is>
      </c>
      <c r="AD45" t="inlineStr">
        <is>
          <t>D155A-5</t>
        </is>
      </c>
      <c r="AE45" t="inlineStr">
        <is>
          <t>Уплотн.175-30-24242 Komatsu</t>
        </is>
      </c>
      <c r="AF45" t="inlineStr">
        <is>
          <t>883208</t>
        </is>
      </c>
      <c r="AG45" t="inlineStr">
        <is>
          <t>175-30-24242</t>
        </is>
      </c>
      <c r="AH45" t="inlineStr">
        <is>
          <t>18.08.2027</t>
        </is>
      </c>
      <c r="AI45" t="inlineStr">
        <is>
          <t>#</t>
        </is>
      </c>
      <c r="AJ45" t="inlineStr">
        <is>
          <t>X</t>
        </is>
      </c>
      <c r="AK45" t="inlineStr">
        <is>
          <t>Калькуляц.: 100% релеван.</t>
        </is>
      </c>
      <c r="AL45" t="inlineStr">
        <is>
          <t>12.08.2026</t>
        </is>
      </c>
      <c r="AM45" t="inlineStr">
        <is>
          <t>Зап. экск. Komatsu</t>
        </is>
      </c>
      <c r="AN45" t="inlineStr">
        <is>
          <t>3.1.2.1</t>
        </is>
      </c>
      <c r="AO45" t="inlineStr">
        <is>
          <t>3I2</t>
        </is>
      </c>
      <c r="AP45" t="inlineStr">
        <is>
          <t>Полячкин Д.С.</t>
        </is>
      </c>
      <c r="AQ45" t="inlineStr">
        <is>
          <t>Начиная с деблокир.</t>
        </is>
      </c>
      <c r="AR45" t="inlineStr">
        <is>
          <t>Не срочная потребнос</t>
        </is>
      </c>
      <c r="AS45" t="inlineStr">
        <is>
          <t>L</t>
        </is>
      </c>
      <c r="AT45" t="inlineStr">
        <is>
          <t>Складская позиция</t>
        </is>
      </c>
      <c r="AU45" t="inlineStr">
        <is>
          <t>АО «Развитие» Иркутс</t>
        </is>
      </c>
      <c r="AV45" t="inlineStr">
        <is>
          <t>7102/100</t>
        </is>
      </c>
      <c r="AW45" t="inlineStr">
        <is>
          <t>Механика</t>
        </is>
      </c>
      <c r="AX45" t="inlineStr">
        <is>
          <t>Komatsu</t>
        </is>
      </c>
      <c r="AY45" t="inlineStr">
        <is>
          <t>Komatsu</t>
        </is>
      </c>
      <c r="AZ45" t="n">
        <v>8112.36</v>
      </c>
      <c r="BA45" t="n">
        <v>4056.18</v>
      </c>
      <c r="BB45" t="n">
        <v>2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</row>
    <row r="46">
      <c r="B46" t="inlineStr">
        <is>
          <t>АО "Полюс Вернинское"</t>
        </is>
      </c>
      <c r="C46" t="inlineStr">
        <is>
          <t>Бульдозеры</t>
        </is>
      </c>
      <c r="D46" t="inlineStr">
        <is>
          <t>Бульдозеры</t>
        </is>
      </c>
      <c r="E46" t="inlineStr">
        <is>
          <t>OPEX (ремонты и ТО)</t>
        </is>
      </c>
      <c r="F46" t="inlineStr">
        <is>
          <t>Бульдозер гусеничный D155A-5 №1412</t>
        </is>
      </c>
      <c r="G46" t="inlineStr">
        <is>
          <t>100000009144</t>
        </is>
      </c>
      <c r="H46" t="inlineStr">
        <is>
          <t>1412</t>
        </is>
      </c>
      <c r="I46" t="inlineStr">
        <is>
          <t>Бульдозер гусеничный D155A-5 №1412</t>
        </is>
      </c>
      <c r="J46" t="inlineStr">
        <is>
          <t>03-RUD-UVSP-BZ06</t>
        </is>
      </c>
      <c r="K46" t="inlineStr">
        <is>
          <t>01.06.2014</t>
        </is>
      </c>
      <c r="L46" t="inlineStr">
        <is>
          <t>#</t>
        </is>
      </c>
      <c r="M46" t="inlineStr">
        <is>
          <t>01.01.2028</t>
        </is>
      </c>
      <c r="N46" t="inlineStr">
        <is>
          <t>1102737701</t>
        </is>
      </c>
      <c r="O46" t="inlineStr">
        <is>
          <t>ТР ходовая D155A-5 №1412</t>
        </is>
      </c>
      <c r="P46" t="inlineStr">
        <is>
          <t>#</t>
        </is>
      </c>
      <c r="Q46" t="inlineStr">
        <is>
          <t>18.08.2027</t>
        </is>
      </c>
      <c r="R46" t="inlineStr">
        <is>
          <t>19.08.2027</t>
        </is>
      </c>
      <c r="S46" t="inlineStr">
        <is>
          <t>Хоз.способ</t>
        </is>
      </c>
      <c r="T46" t="inlineStr">
        <is>
          <t>XS</t>
        </is>
      </c>
      <c r="U46" t="inlineStr">
        <is>
          <t>ДМНП  ОТКР  ПКАЛ  ОБСЗ</t>
        </is>
      </c>
      <c r="V46" t="inlineStr">
        <is>
          <t>ПТОГ  СГГС  ГОД  МТРЦ</t>
        </is>
      </c>
      <c r="W46" t="inlineStr">
        <is>
          <t>Участок по ТОиР ТТ б</t>
        </is>
      </c>
      <c r="X46" t="inlineStr">
        <is>
          <t>APP1</t>
        </is>
      </c>
      <c r="Y46" t="inlineStr">
        <is>
          <t>ТОРО по ППР</t>
        </is>
      </c>
      <c r="Z46" t="inlineStr">
        <is>
          <t>Текущий ремонт</t>
        </is>
      </c>
      <c r="AA46" t="inlineStr">
        <is>
          <t>ТР</t>
        </is>
      </c>
      <c r="AB46" t="inlineStr">
        <is>
          <t>АТЦ_парк бульдозеров Komatsu D-155</t>
        </is>
      </c>
      <c r="AC46" t="inlineStr">
        <is>
          <t>АТЦ_парк бульдозеров Komatsu D-155</t>
        </is>
      </c>
      <c r="AD46" t="inlineStr">
        <is>
          <t>D155A-5</t>
        </is>
      </c>
      <c r="AE46" t="inlineStr">
        <is>
          <t>Уплотн.17M-50-49290 Komatsu</t>
        </is>
      </c>
      <c r="AF46" t="inlineStr">
        <is>
          <t>624127</t>
        </is>
      </c>
      <c r="AG46" t="inlineStr">
        <is>
          <t>17M-50-49290</t>
        </is>
      </c>
      <c r="AH46" t="inlineStr">
        <is>
          <t>18.08.2027</t>
        </is>
      </c>
      <c r="AI46" t="inlineStr">
        <is>
          <t>#</t>
        </is>
      </c>
      <c r="AJ46" t="inlineStr">
        <is>
          <t>X</t>
        </is>
      </c>
      <c r="AK46" t="inlineStr">
        <is>
          <t>Калькуляц.: 100% релеван.</t>
        </is>
      </c>
      <c r="AL46" t="inlineStr">
        <is>
          <t>12.08.2026</t>
        </is>
      </c>
      <c r="AM46" t="inlineStr">
        <is>
          <t>Зап. к бульд.Komatsu</t>
        </is>
      </c>
      <c r="AN46" t="inlineStr">
        <is>
          <t>3.4.1.2</t>
        </is>
      </c>
      <c r="AO46" t="inlineStr">
        <is>
          <t>3I2</t>
        </is>
      </c>
      <c r="AP46" t="inlineStr">
        <is>
          <t>Полячкин Д.С.</t>
        </is>
      </c>
      <c r="AQ46" t="inlineStr">
        <is>
          <t>Начиная с деблокир.</t>
        </is>
      </c>
      <c r="AR46" t="inlineStr">
        <is>
          <t>Не срочная потребнос</t>
        </is>
      </c>
      <c r="AS46" t="inlineStr">
        <is>
          <t>L</t>
        </is>
      </c>
      <c r="AT46" t="inlineStr">
        <is>
          <t>Складская позиция</t>
        </is>
      </c>
      <c r="AU46" t="inlineStr">
        <is>
          <t>АО «Развитие» Иркутс</t>
        </is>
      </c>
      <c r="AV46" t="inlineStr">
        <is>
          <t>7102/100</t>
        </is>
      </c>
      <c r="AW46" t="inlineStr">
        <is>
          <t>Механика</t>
        </is>
      </c>
      <c r="AX46" t="inlineStr">
        <is>
          <t>Komatsu</t>
        </is>
      </c>
      <c r="AY46" t="inlineStr">
        <is>
          <t>Komatsu</t>
        </is>
      </c>
      <c r="AZ46" t="n">
        <v>91678.39999999999</v>
      </c>
      <c r="BA46" t="n">
        <v>22919.6</v>
      </c>
      <c r="BB46" t="n">
        <v>4</v>
      </c>
      <c r="BC46" t="n">
        <v>0</v>
      </c>
      <c r="BD46" t="n">
        <v>0</v>
      </c>
      <c r="BF46" t="n">
        <v>0</v>
      </c>
      <c r="BG46" t="n">
        <v>0</v>
      </c>
      <c r="BH46" t="n">
        <v>0</v>
      </c>
    </row>
    <row r="47">
      <c r="B47" t="inlineStr">
        <is>
          <t>АО "Полюс Вернинское"</t>
        </is>
      </c>
      <c r="C47" t="inlineStr">
        <is>
          <t>Бульдозеры</t>
        </is>
      </c>
      <c r="D47" t="inlineStr">
        <is>
          <t>Бульдозеры</t>
        </is>
      </c>
      <c r="E47" t="inlineStr">
        <is>
          <t>OPEX (ремонты и ТО)</t>
        </is>
      </c>
      <c r="F47" t="inlineStr">
        <is>
          <t>Бульдозер гусеничный D155A-5 №1412</t>
        </is>
      </c>
      <c r="G47" t="inlineStr">
        <is>
          <t>100000009144</t>
        </is>
      </c>
      <c r="H47" t="inlineStr">
        <is>
          <t>1412</t>
        </is>
      </c>
      <c r="I47" t="inlineStr">
        <is>
          <t>Бульдозер гусеничный D155A-5 №1412</t>
        </is>
      </c>
      <c r="J47" t="inlineStr">
        <is>
          <t>03-RUD-UVSP-BZ06</t>
        </is>
      </c>
      <c r="K47" t="inlineStr">
        <is>
          <t>01.06.2014</t>
        </is>
      </c>
      <c r="L47" t="inlineStr">
        <is>
          <t>#</t>
        </is>
      </c>
      <c r="M47" t="inlineStr">
        <is>
          <t>01.01.2028</t>
        </is>
      </c>
      <c r="N47" t="inlineStr">
        <is>
          <t>1102737701</t>
        </is>
      </c>
      <c r="O47" t="inlineStr">
        <is>
          <t>ТР ходовая D155A-5 №1412</t>
        </is>
      </c>
      <c r="P47" t="inlineStr">
        <is>
          <t>#</t>
        </is>
      </c>
      <c r="Q47" t="inlineStr">
        <is>
          <t>18.08.2027</t>
        </is>
      </c>
      <c r="R47" t="inlineStr">
        <is>
          <t>19.08.2027</t>
        </is>
      </c>
      <c r="S47" t="inlineStr">
        <is>
          <t>Хоз.способ</t>
        </is>
      </c>
      <c r="T47" t="inlineStr">
        <is>
          <t>XS</t>
        </is>
      </c>
      <c r="U47" t="inlineStr">
        <is>
          <t>ДМНП  ОТКР  ПКАЛ  ОБСЗ</t>
        </is>
      </c>
      <c r="V47" t="inlineStr">
        <is>
          <t>ПТОГ  СГГС  ГОД  МТРЦ</t>
        </is>
      </c>
      <c r="W47" t="inlineStr">
        <is>
          <t>Участок по ТОиР ТТ б</t>
        </is>
      </c>
      <c r="X47" t="inlineStr">
        <is>
          <t>APP1</t>
        </is>
      </c>
      <c r="Y47" t="inlineStr">
        <is>
          <t>ТОРО по ППР</t>
        </is>
      </c>
      <c r="Z47" t="inlineStr">
        <is>
          <t>Текущий ремонт</t>
        </is>
      </c>
      <c r="AA47" t="inlineStr">
        <is>
          <t>ТР</t>
        </is>
      </c>
      <c r="AB47" t="inlineStr">
        <is>
          <t>АТЦ_парк бульдозеров Komatsu D-155</t>
        </is>
      </c>
      <c r="AC47" t="inlineStr">
        <is>
          <t>АТЦ_парк бульдозеров Komatsu D-155</t>
        </is>
      </c>
      <c r="AD47" t="inlineStr">
        <is>
          <t>D155A-5</t>
        </is>
      </c>
      <c r="AE47" t="inlineStr">
        <is>
          <t>Фланец 17A-50-12351 Komatsu</t>
        </is>
      </c>
      <c r="AF47" t="inlineStr">
        <is>
          <t>635043</t>
        </is>
      </c>
      <c r="AG47" t="inlineStr">
        <is>
          <t>17A-50-12351</t>
        </is>
      </c>
      <c r="AH47" t="inlineStr">
        <is>
          <t>18.08.2027</t>
        </is>
      </c>
      <c r="AI47" t="inlineStr">
        <is>
          <t>#</t>
        </is>
      </c>
      <c r="AJ47" t="inlineStr">
        <is>
          <t>X</t>
        </is>
      </c>
      <c r="AK47" t="inlineStr">
        <is>
          <t>Калькуляц.: 100% релеван.</t>
        </is>
      </c>
      <c r="AL47" t="inlineStr">
        <is>
          <t>12.08.2026</t>
        </is>
      </c>
      <c r="AM47" t="inlineStr">
        <is>
          <t>Зап. погруз. Komatsu</t>
        </is>
      </c>
      <c r="AN47" t="inlineStr">
        <is>
          <t>3.1.4.1</t>
        </is>
      </c>
      <c r="AO47" t="inlineStr">
        <is>
          <t>3I2</t>
        </is>
      </c>
      <c r="AP47" t="inlineStr">
        <is>
          <t>Полячкин Д.С.</t>
        </is>
      </c>
      <c r="AQ47" t="inlineStr">
        <is>
          <t>Начиная с деблокир.</t>
        </is>
      </c>
      <c r="AR47" t="inlineStr">
        <is>
          <t>Не срочная потребнос</t>
        </is>
      </c>
      <c r="AS47" t="inlineStr">
        <is>
          <t>L</t>
        </is>
      </c>
      <c r="AT47" t="inlineStr">
        <is>
          <t>Складская позиция</t>
        </is>
      </c>
      <c r="AU47" t="inlineStr">
        <is>
          <t>АО «Развитие» Иркутс</t>
        </is>
      </c>
      <c r="AV47" t="inlineStr">
        <is>
          <t>7102/100</t>
        </is>
      </c>
      <c r="AW47" t="inlineStr">
        <is>
          <t>Механика</t>
        </is>
      </c>
      <c r="AX47" t="inlineStr">
        <is>
          <t>Komatsu</t>
        </is>
      </c>
      <c r="AY47" t="inlineStr">
        <is>
          <t>Komatsu</t>
        </is>
      </c>
      <c r="AZ47" t="n">
        <v>140706.64</v>
      </c>
      <c r="BA47" t="n">
        <v>35176.66</v>
      </c>
      <c r="BB47" t="n">
        <v>4</v>
      </c>
      <c r="BC47" t="n">
        <v>0</v>
      </c>
      <c r="BD47" t="n">
        <v>0</v>
      </c>
      <c r="BF47" t="n">
        <v>0</v>
      </c>
      <c r="BG47" t="n">
        <v>0</v>
      </c>
      <c r="BH47" t="n">
        <v>0</v>
      </c>
    </row>
    <row r="48">
      <c r="B48" t="inlineStr">
        <is>
          <t>АО "Полюс Вернинское"</t>
        </is>
      </c>
      <c r="C48" t="inlineStr">
        <is>
          <t>Бульдозеры</t>
        </is>
      </c>
      <c r="D48" t="inlineStr">
        <is>
          <t>Бульдозеры</t>
        </is>
      </c>
      <c r="E48" t="inlineStr">
        <is>
          <t>OPEX (ремонты и ТО)</t>
        </is>
      </c>
      <c r="F48" t="inlineStr">
        <is>
          <t>Бульдозер гусеничный D155A-5 №1412</t>
        </is>
      </c>
      <c r="G48" t="inlineStr">
        <is>
          <t>100000009144</t>
        </is>
      </c>
      <c r="H48" t="inlineStr">
        <is>
          <t>1412</t>
        </is>
      </c>
      <c r="I48" t="inlineStr">
        <is>
          <t>Бульдозер гусеничный D155A-5 №1412</t>
        </is>
      </c>
      <c r="J48" t="inlineStr">
        <is>
          <t>03-RUD-UVSP-BZ06</t>
        </is>
      </c>
      <c r="K48" t="inlineStr">
        <is>
          <t>01.06.2014</t>
        </is>
      </c>
      <c r="L48" t="inlineStr">
        <is>
          <t>#</t>
        </is>
      </c>
      <c r="M48" t="inlineStr">
        <is>
          <t>01.01.2028</t>
        </is>
      </c>
      <c r="N48" t="inlineStr">
        <is>
          <t>1102737703</t>
        </is>
      </c>
      <c r="O48" t="inlineStr">
        <is>
          <t>ТР трансмиссии D155A-5 №1412</t>
        </is>
      </c>
      <c r="P48" t="inlineStr">
        <is>
          <t>#</t>
        </is>
      </c>
      <c r="Q48" t="inlineStr">
        <is>
          <t>16.10.2027</t>
        </is>
      </c>
      <c r="R48" t="inlineStr">
        <is>
          <t>17.10.2027</t>
        </is>
      </c>
      <c r="S48" t="inlineStr">
        <is>
          <t>Хоз.способ</t>
        </is>
      </c>
      <c r="T48" t="inlineStr">
        <is>
          <t>XS</t>
        </is>
      </c>
      <c r="U48" t="inlineStr">
        <is>
          <t>ОТКР  ПКАЛ  ОБСЗ  ДМНП</t>
        </is>
      </c>
      <c r="V48" t="inlineStr">
        <is>
          <t>ПТОГ  СГГС  ГОД  МТРЦ</t>
        </is>
      </c>
      <c r="W48" t="inlineStr">
        <is>
          <t>Участок по ТОиР ТТ б</t>
        </is>
      </c>
      <c r="X48" t="inlineStr">
        <is>
          <t>APP1</t>
        </is>
      </c>
      <c r="Y48" t="inlineStr">
        <is>
          <t>ТОРО по ППР</t>
        </is>
      </c>
      <c r="Z48" t="inlineStr">
        <is>
          <t>Текущий ремонт</t>
        </is>
      </c>
      <c r="AA48" t="inlineStr">
        <is>
          <t>ТР</t>
        </is>
      </c>
      <c r="AB48" t="inlineStr">
        <is>
          <t>АТЦ_парк бульдозеров Komatsu D-155</t>
        </is>
      </c>
      <c r="AC48" t="inlineStr">
        <is>
          <t>АТЦ_парк бульдозеров Komatsu D-155</t>
        </is>
      </c>
      <c r="AD48" t="inlineStr">
        <is>
          <t>D155A-5</t>
        </is>
      </c>
      <c r="AE48" t="inlineStr">
        <is>
          <t>Болт 01010-81260 Komatsu</t>
        </is>
      </c>
      <c r="AF48" t="inlineStr">
        <is>
          <t>624063</t>
        </is>
      </c>
      <c r="AG48" t="inlineStr">
        <is>
          <t>01010-81260</t>
        </is>
      </c>
      <c r="AH48" t="inlineStr">
        <is>
          <t>16.10.2027</t>
        </is>
      </c>
      <c r="AI48" t="inlineStr">
        <is>
          <t>#</t>
        </is>
      </c>
      <c r="AJ48" t="inlineStr">
        <is>
          <t>X</t>
        </is>
      </c>
      <c r="AK48" t="inlineStr">
        <is>
          <t>Калькуляц.: 100% релеван.</t>
        </is>
      </c>
      <c r="AL48" t="inlineStr">
        <is>
          <t>12.08.2026</t>
        </is>
      </c>
      <c r="AM48" t="inlineStr">
        <is>
          <t>Зап. к бульд.Komatsu</t>
        </is>
      </c>
      <c r="AN48" t="inlineStr">
        <is>
          <t>3.4.1.2</t>
        </is>
      </c>
      <c r="AO48" t="inlineStr">
        <is>
          <t>3I2</t>
        </is>
      </c>
      <c r="AP48" t="inlineStr">
        <is>
          <t>Полячкин Д.С.</t>
        </is>
      </c>
      <c r="AQ48" t="inlineStr">
        <is>
          <t>Начиная с деблокир.</t>
        </is>
      </c>
      <c r="AR48" t="inlineStr">
        <is>
          <t>Не срочная потребнос</t>
        </is>
      </c>
      <c r="AS48" t="inlineStr">
        <is>
          <t>L</t>
        </is>
      </c>
      <c r="AT48" t="inlineStr">
        <is>
          <t>Складская позиция</t>
        </is>
      </c>
      <c r="AU48" t="inlineStr">
        <is>
          <t>АО «Развитие» Иркутс</t>
        </is>
      </c>
      <c r="AV48" t="inlineStr">
        <is>
          <t>7102/100</t>
        </is>
      </c>
      <c r="AW48" t="inlineStr">
        <is>
          <t>Механика</t>
        </is>
      </c>
      <c r="AX48" t="inlineStr">
        <is>
          <t>Komatsu</t>
        </is>
      </c>
      <c r="AY48" t="inlineStr">
        <is>
          <t>Komatsu</t>
        </is>
      </c>
      <c r="AZ48" t="n">
        <v>2864.08</v>
      </c>
      <c r="BA48" t="n">
        <v>358.01</v>
      </c>
      <c r="BB48" t="n">
        <v>8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</row>
    <row r="49">
      <c r="B49" t="inlineStr">
        <is>
          <t>АО "Полюс Вернинское"</t>
        </is>
      </c>
      <c r="C49" t="inlineStr">
        <is>
          <t>Бульдозеры</t>
        </is>
      </c>
      <c r="D49" t="inlineStr">
        <is>
          <t>Бульдозеры</t>
        </is>
      </c>
      <c r="E49" t="inlineStr">
        <is>
          <t>OPEX (ремонты и ТО)</t>
        </is>
      </c>
      <c r="F49" t="inlineStr">
        <is>
          <t>Бульдозер гусеничный D155A-5 №1412</t>
        </is>
      </c>
      <c r="G49" t="inlineStr">
        <is>
          <t>100000009144</t>
        </is>
      </c>
      <c r="H49" t="inlineStr">
        <is>
          <t>1412</t>
        </is>
      </c>
      <c r="I49" t="inlineStr">
        <is>
          <t>Бульдозер гусеничный D155A-5 №1412</t>
        </is>
      </c>
      <c r="J49" t="inlineStr">
        <is>
          <t>03-RUD-UVSP-BZ06</t>
        </is>
      </c>
      <c r="K49" t="inlineStr">
        <is>
          <t>01.06.2014</t>
        </is>
      </c>
      <c r="L49" t="inlineStr">
        <is>
          <t>#</t>
        </is>
      </c>
      <c r="M49" t="inlineStr">
        <is>
          <t>01.01.2028</t>
        </is>
      </c>
      <c r="N49" t="inlineStr">
        <is>
          <t>1102737703</t>
        </is>
      </c>
      <c r="O49" t="inlineStr">
        <is>
          <t>ТР трансмиссии D155A-5 №1412</t>
        </is>
      </c>
      <c r="P49" t="inlineStr">
        <is>
          <t>#</t>
        </is>
      </c>
      <c r="Q49" t="inlineStr">
        <is>
          <t>16.10.2027</t>
        </is>
      </c>
      <c r="R49" t="inlineStr">
        <is>
          <t>17.10.2027</t>
        </is>
      </c>
      <c r="S49" t="inlineStr">
        <is>
          <t>Хоз.способ</t>
        </is>
      </c>
      <c r="T49" t="inlineStr">
        <is>
          <t>XS</t>
        </is>
      </c>
      <c r="U49" t="inlineStr">
        <is>
          <t>ОТКР  ПКАЛ  ОБСЗ  ДМНП</t>
        </is>
      </c>
      <c r="V49" t="inlineStr">
        <is>
          <t>ПТОГ  СГГС  ГОД  МТРЦ</t>
        </is>
      </c>
      <c r="W49" t="inlineStr">
        <is>
          <t>Участок по ТОиР ТТ б</t>
        </is>
      </c>
      <c r="X49" t="inlineStr">
        <is>
          <t>APP1</t>
        </is>
      </c>
      <c r="Y49" t="inlineStr">
        <is>
          <t>ТОРО по ППР</t>
        </is>
      </c>
      <c r="Z49" t="inlineStr">
        <is>
          <t>Текущий ремонт</t>
        </is>
      </c>
      <c r="AA49" t="inlineStr">
        <is>
          <t>ТР</t>
        </is>
      </c>
      <c r="AB49" t="inlineStr">
        <is>
          <t>АТЦ_парк бульдозеров Komatsu D-155</t>
        </is>
      </c>
      <c r="AC49" t="inlineStr">
        <is>
          <t>АТЦ_парк бульдозеров Komatsu D-155</t>
        </is>
      </c>
      <c r="AD49" t="inlineStr">
        <is>
          <t>D155A-5</t>
        </is>
      </c>
      <c r="AE49" t="inlineStr">
        <is>
          <t>Вал кард.17A-20-11300 Komatsu</t>
        </is>
      </c>
      <c r="AF49" t="inlineStr">
        <is>
          <t>898503</t>
        </is>
      </c>
      <c r="AG49" t="inlineStr">
        <is>
          <t>17A-20-11300</t>
        </is>
      </c>
      <c r="AH49" t="inlineStr">
        <is>
          <t>16.10.2027</t>
        </is>
      </c>
      <c r="AI49" t="inlineStr">
        <is>
          <t>#</t>
        </is>
      </c>
      <c r="AJ49" t="inlineStr">
        <is>
          <t>X</t>
        </is>
      </c>
      <c r="AK49" t="inlineStr">
        <is>
          <t>Калькуляц.: 100% релеван.</t>
        </is>
      </c>
      <c r="AL49" t="inlineStr">
        <is>
          <t>12.08.2026</t>
        </is>
      </c>
      <c r="AM49" t="inlineStr">
        <is>
          <t>Зап. к бульд.Komatsu</t>
        </is>
      </c>
      <c r="AN49" t="inlineStr">
        <is>
          <t>3.4.1.2</t>
        </is>
      </c>
      <c r="AO49" t="inlineStr">
        <is>
          <t>3I2</t>
        </is>
      </c>
      <c r="AP49" t="inlineStr">
        <is>
          <t>Полячкин Д.С.</t>
        </is>
      </c>
      <c r="AQ49" t="inlineStr">
        <is>
          <t>Начиная с деблокир.</t>
        </is>
      </c>
      <c r="AR49" t="inlineStr">
        <is>
          <t>Не срочная потребнос</t>
        </is>
      </c>
      <c r="AS49" t="inlineStr">
        <is>
          <t>L</t>
        </is>
      </c>
      <c r="AT49" t="inlineStr">
        <is>
          <t>Складская позиция</t>
        </is>
      </c>
      <c r="AU49" t="inlineStr">
        <is>
          <t>АО «Развитие» Иркутс</t>
        </is>
      </c>
      <c r="AV49" t="inlineStr">
        <is>
          <t>7102/100</t>
        </is>
      </c>
      <c r="AW49" t="inlineStr">
        <is>
          <t>Механика</t>
        </is>
      </c>
      <c r="AX49" t="inlineStr">
        <is>
          <t>Komatsu</t>
        </is>
      </c>
      <c r="AY49" t="inlineStr">
        <is>
          <t>Komatsu</t>
        </is>
      </c>
      <c r="AZ49" t="n">
        <v>132463.73</v>
      </c>
      <c r="BA49" t="n">
        <v>132463.73</v>
      </c>
      <c r="BB49" t="n">
        <v>1</v>
      </c>
      <c r="BC49" t="n">
        <v>0</v>
      </c>
      <c r="BD49" t="n">
        <v>0</v>
      </c>
      <c r="BF49" t="n">
        <v>0</v>
      </c>
      <c r="BG49" t="n">
        <v>0</v>
      </c>
      <c r="BH49" t="n">
        <v>0</v>
      </c>
    </row>
    <row r="50">
      <c r="B50" t="inlineStr">
        <is>
          <t>АО "Полюс Вернинское"</t>
        </is>
      </c>
      <c r="C50" t="inlineStr">
        <is>
          <t>Бульдозеры</t>
        </is>
      </c>
      <c r="D50" t="inlineStr">
        <is>
          <t>Бульдозеры</t>
        </is>
      </c>
      <c r="E50" t="inlineStr">
        <is>
          <t>OPEX (ремонты и ТО)</t>
        </is>
      </c>
      <c r="F50" t="inlineStr">
        <is>
          <t>Бульдозер гусеничный D155A-5 №1412</t>
        </is>
      </c>
      <c r="G50" t="inlineStr">
        <is>
          <t>100000009144</t>
        </is>
      </c>
      <c r="H50" t="inlineStr">
        <is>
          <t>1412</t>
        </is>
      </c>
      <c r="I50" t="inlineStr">
        <is>
          <t>Бульдозер гусеничный D155A-5 №1412</t>
        </is>
      </c>
      <c r="J50" t="inlineStr">
        <is>
          <t>03-RUD-UVSP-BZ06</t>
        </is>
      </c>
      <c r="K50" t="inlineStr">
        <is>
          <t>01.06.2014</t>
        </is>
      </c>
      <c r="L50" t="inlineStr">
        <is>
          <t>#</t>
        </is>
      </c>
      <c r="M50" t="inlineStr">
        <is>
          <t>01.01.2028</t>
        </is>
      </c>
      <c r="N50" t="inlineStr">
        <is>
          <t>1102737703</t>
        </is>
      </c>
      <c r="O50" t="inlineStr">
        <is>
          <t>ТР трансмиссии D155A-5 №1412</t>
        </is>
      </c>
      <c r="P50" t="inlineStr">
        <is>
          <t>#</t>
        </is>
      </c>
      <c r="Q50" t="inlineStr">
        <is>
          <t>16.10.2027</t>
        </is>
      </c>
      <c r="R50" t="inlineStr">
        <is>
          <t>17.10.2027</t>
        </is>
      </c>
      <c r="S50" t="inlineStr">
        <is>
          <t>Хоз.способ</t>
        </is>
      </c>
      <c r="T50" t="inlineStr">
        <is>
          <t>XS</t>
        </is>
      </c>
      <c r="U50" t="inlineStr">
        <is>
          <t>ОТКР  ПКАЛ  ОБСЗ  ДМНП</t>
        </is>
      </c>
      <c r="V50" t="inlineStr">
        <is>
          <t>ПТОГ  СГГС  ГОД  МТРЦ</t>
        </is>
      </c>
      <c r="W50" t="inlineStr">
        <is>
          <t>Участок по ТОиР ТТ б</t>
        </is>
      </c>
      <c r="X50" t="inlineStr">
        <is>
          <t>APP1</t>
        </is>
      </c>
      <c r="Y50" t="inlineStr">
        <is>
          <t>ТОРО по ППР</t>
        </is>
      </c>
      <c r="Z50" t="inlineStr">
        <is>
          <t>Текущий ремонт</t>
        </is>
      </c>
      <c r="AA50" t="inlineStr">
        <is>
          <t>ТР</t>
        </is>
      </c>
      <c r="AB50" t="inlineStr">
        <is>
          <t>АТЦ_парк бульдозеров Komatsu D-155</t>
        </is>
      </c>
      <c r="AC50" t="inlineStr">
        <is>
          <t>АТЦ_парк бульдозеров Komatsu D-155</t>
        </is>
      </c>
      <c r="AD50" t="inlineStr">
        <is>
          <t>D155A-5</t>
        </is>
      </c>
      <c r="AE50" t="inlineStr">
        <is>
          <t>Клап.СБ 17A-15-26030 Komatsu</t>
        </is>
      </c>
      <c r="AF50" t="inlineStr">
        <is>
          <t>624615</t>
        </is>
      </c>
      <c r="AG50" t="inlineStr">
        <is>
          <t>17A-15-26030</t>
        </is>
      </c>
      <c r="AH50" t="inlineStr">
        <is>
          <t>16.10.2027</t>
        </is>
      </c>
      <c r="AI50" t="inlineStr">
        <is>
          <t>#</t>
        </is>
      </c>
      <c r="AJ50" t="inlineStr">
        <is>
          <t>X</t>
        </is>
      </c>
      <c r="AK50" t="inlineStr">
        <is>
          <t>Калькуляц.: 100% релеван.</t>
        </is>
      </c>
      <c r="AL50" t="inlineStr">
        <is>
          <t>12.08.2026</t>
        </is>
      </c>
      <c r="AM50" t="inlineStr">
        <is>
          <t>Зап. к бульд.Komatsu</t>
        </is>
      </c>
      <c r="AN50" t="inlineStr">
        <is>
          <t>3.4.1.2</t>
        </is>
      </c>
      <c r="AO50" t="inlineStr">
        <is>
          <t>3I2</t>
        </is>
      </c>
      <c r="AP50" t="inlineStr">
        <is>
          <t>Полячкин Д.С.</t>
        </is>
      </c>
      <c r="AQ50" t="inlineStr">
        <is>
          <t>Начиная с деблокир.</t>
        </is>
      </c>
      <c r="AR50" t="inlineStr">
        <is>
          <t>Не срочная потребнос</t>
        </is>
      </c>
      <c r="AS50" t="inlineStr">
        <is>
          <t>L</t>
        </is>
      </c>
      <c r="AT50" t="inlineStr">
        <is>
          <t>Складская позиция</t>
        </is>
      </c>
      <c r="AU50" t="inlineStr">
        <is>
          <t>АО «Развитие» Иркутс</t>
        </is>
      </c>
      <c r="AV50" t="inlineStr">
        <is>
          <t>7102/100</t>
        </is>
      </c>
      <c r="AW50" t="inlineStr">
        <is>
          <t>Механика</t>
        </is>
      </c>
      <c r="AX50" t="inlineStr">
        <is>
          <t>Komatsu</t>
        </is>
      </c>
      <c r="AY50" t="inlineStr">
        <is>
          <t>Komatsu</t>
        </is>
      </c>
      <c r="AZ50" t="n">
        <v>177477.74</v>
      </c>
      <c r="BA50" t="n">
        <v>177477.74</v>
      </c>
      <c r="BB50" t="n">
        <v>1</v>
      </c>
      <c r="BC50" t="n">
        <v>0</v>
      </c>
      <c r="BD50" t="n">
        <v>0</v>
      </c>
      <c r="BF50" t="n">
        <v>0</v>
      </c>
      <c r="BG50" t="n">
        <v>0</v>
      </c>
      <c r="BH50" t="n">
        <v>0</v>
      </c>
    </row>
    <row r="51">
      <c r="B51" t="inlineStr">
        <is>
          <t>АО "Полюс Вернинское"</t>
        </is>
      </c>
      <c r="C51" t="inlineStr">
        <is>
          <t>Бульдозеры</t>
        </is>
      </c>
      <c r="D51" t="inlineStr">
        <is>
          <t>Бульдозеры</t>
        </is>
      </c>
      <c r="E51" t="inlineStr">
        <is>
          <t>OPEX (ремонты и ТО)</t>
        </is>
      </c>
      <c r="F51" t="inlineStr">
        <is>
          <t>Бульдозер гусеничный D155A-5 №1412</t>
        </is>
      </c>
      <c r="G51" t="inlineStr">
        <is>
          <t>100000009144</t>
        </is>
      </c>
      <c r="H51" t="inlineStr">
        <is>
          <t>1412</t>
        </is>
      </c>
      <c r="I51" t="inlineStr">
        <is>
          <t>Бульдозер гусеничный D155A-5 №1412</t>
        </is>
      </c>
      <c r="J51" t="inlineStr">
        <is>
          <t>03-RUD-UVSP-BZ06</t>
        </is>
      </c>
      <c r="K51" t="inlineStr">
        <is>
          <t>01.06.2014</t>
        </is>
      </c>
      <c r="L51" t="inlineStr">
        <is>
          <t>#</t>
        </is>
      </c>
      <c r="M51" t="inlineStr">
        <is>
          <t>01.01.2028</t>
        </is>
      </c>
      <c r="N51" t="inlineStr">
        <is>
          <t>1102737703</t>
        </is>
      </c>
      <c r="O51" t="inlineStr">
        <is>
          <t>ТР трансмиссии D155A-5 №1412</t>
        </is>
      </c>
      <c r="P51" t="inlineStr">
        <is>
          <t>#</t>
        </is>
      </c>
      <c r="Q51" t="inlineStr">
        <is>
          <t>16.10.2027</t>
        </is>
      </c>
      <c r="R51" t="inlineStr">
        <is>
          <t>17.10.2027</t>
        </is>
      </c>
      <c r="S51" t="inlineStr">
        <is>
          <t>Хоз.способ</t>
        </is>
      </c>
      <c r="T51" t="inlineStr">
        <is>
          <t>XS</t>
        </is>
      </c>
      <c r="U51" t="inlineStr">
        <is>
          <t>ОТКР  ПКАЛ  ОБСЗ  ДМНП</t>
        </is>
      </c>
      <c r="V51" t="inlineStr">
        <is>
          <t>ПТОГ  СГГС  ГОД  МТРЦ</t>
        </is>
      </c>
      <c r="W51" t="inlineStr">
        <is>
          <t>Участок по ТОиР ТТ б</t>
        </is>
      </c>
      <c r="X51" t="inlineStr">
        <is>
          <t>APP1</t>
        </is>
      </c>
      <c r="Y51" t="inlineStr">
        <is>
          <t>ТОРО по ППР</t>
        </is>
      </c>
      <c r="Z51" t="inlineStr">
        <is>
          <t>Текущий ремонт</t>
        </is>
      </c>
      <c r="AA51" t="inlineStr">
        <is>
          <t>ТР</t>
        </is>
      </c>
      <c r="AB51" t="inlineStr">
        <is>
          <t>АТЦ_парк бульдозеров Komatsu D-155</t>
        </is>
      </c>
      <c r="AC51" t="inlineStr">
        <is>
          <t>АТЦ_парк бульдозеров Komatsu D-155</t>
        </is>
      </c>
      <c r="AD51" t="inlineStr">
        <is>
          <t>D155A-5</t>
        </is>
      </c>
      <c r="AE51" t="inlineStr">
        <is>
          <t>Клапан СБ 17A-40-12300 Komatsu</t>
        </is>
      </c>
      <c r="AF51" t="inlineStr">
        <is>
          <t>622705</t>
        </is>
      </c>
      <c r="AG51" t="inlineStr">
        <is>
          <t>17A-40-12300</t>
        </is>
      </c>
      <c r="AH51" t="inlineStr">
        <is>
          <t>16.10.2027</t>
        </is>
      </c>
      <c r="AI51" t="inlineStr">
        <is>
          <t>#</t>
        </is>
      </c>
      <c r="AJ51" t="inlineStr">
        <is>
          <t>X</t>
        </is>
      </c>
      <c r="AK51" t="inlineStr">
        <is>
          <t>Калькуляц.: 100% релеван.</t>
        </is>
      </c>
      <c r="AL51" t="inlineStr">
        <is>
          <t>12.08.2026</t>
        </is>
      </c>
      <c r="AM51" t="inlineStr">
        <is>
          <t>Зап. к бульд.Komatsu</t>
        </is>
      </c>
      <c r="AN51" t="inlineStr">
        <is>
          <t>3.4.1.2</t>
        </is>
      </c>
      <c r="AO51" t="inlineStr">
        <is>
          <t>3I2</t>
        </is>
      </c>
      <c r="AP51" t="inlineStr">
        <is>
          <t>Полячкин Д.С.</t>
        </is>
      </c>
      <c r="AQ51" t="inlineStr">
        <is>
          <t>Начиная с деблокир.</t>
        </is>
      </c>
      <c r="AR51" t="inlineStr">
        <is>
          <t>Не срочная потребнос</t>
        </is>
      </c>
      <c r="AS51" t="inlineStr">
        <is>
          <t>L</t>
        </is>
      </c>
      <c r="AT51" t="inlineStr">
        <is>
          <t>Складская позиция</t>
        </is>
      </c>
      <c r="AU51" t="inlineStr">
        <is>
          <t>АО «Развитие» Иркутс</t>
        </is>
      </c>
      <c r="AV51" t="inlineStr">
        <is>
          <t>7102/100</t>
        </is>
      </c>
      <c r="AW51" t="inlineStr">
        <is>
          <t>Механика</t>
        </is>
      </c>
      <c r="AX51" t="inlineStr">
        <is>
          <t>Komatsu</t>
        </is>
      </c>
      <c r="AY51" t="inlineStr">
        <is>
          <t>Komatsu</t>
        </is>
      </c>
      <c r="AZ51" t="n">
        <v>829692.51</v>
      </c>
      <c r="BA51" t="n">
        <v>829692.51</v>
      </c>
      <c r="BB51" t="n">
        <v>1</v>
      </c>
      <c r="BC51" t="n">
        <v>0</v>
      </c>
      <c r="BD51" t="n">
        <v>0</v>
      </c>
      <c r="BF51" t="n">
        <v>0</v>
      </c>
      <c r="BG51" t="n">
        <v>0</v>
      </c>
      <c r="BH51" t="n">
        <v>0</v>
      </c>
    </row>
    <row r="52">
      <c r="B52" t="inlineStr">
        <is>
          <t>АО "Полюс Вернинское"</t>
        </is>
      </c>
      <c r="C52" t="inlineStr">
        <is>
          <t>Бульдозеры</t>
        </is>
      </c>
      <c r="D52" t="inlineStr">
        <is>
          <t>Бульдозеры</t>
        </is>
      </c>
      <c r="E52" t="inlineStr">
        <is>
          <t>OPEX (ремонты и ТО)</t>
        </is>
      </c>
      <c r="F52" t="inlineStr">
        <is>
          <t>Бульдозер гусеничный D155A-5 №1412</t>
        </is>
      </c>
      <c r="G52" t="inlineStr">
        <is>
          <t>100000009144</t>
        </is>
      </c>
      <c r="H52" t="inlineStr">
        <is>
          <t>1412</t>
        </is>
      </c>
      <c r="I52" t="inlineStr">
        <is>
          <t>Бульдозер гусеничный D155A-5 №1412</t>
        </is>
      </c>
      <c r="J52" t="inlineStr">
        <is>
          <t>03-RUD-UVSP-BZ06</t>
        </is>
      </c>
      <c r="K52" t="inlineStr">
        <is>
          <t>01.06.2014</t>
        </is>
      </c>
      <c r="L52" t="inlineStr">
        <is>
          <t>#</t>
        </is>
      </c>
      <c r="M52" t="inlineStr">
        <is>
          <t>01.01.2028</t>
        </is>
      </c>
      <c r="N52" t="inlineStr">
        <is>
          <t>1102737703</t>
        </is>
      </c>
      <c r="O52" t="inlineStr">
        <is>
          <t>ТР трансмиссии D155A-5 №1412</t>
        </is>
      </c>
      <c r="P52" t="inlineStr">
        <is>
          <t>#</t>
        </is>
      </c>
      <c r="Q52" t="inlineStr">
        <is>
          <t>16.10.2027</t>
        </is>
      </c>
      <c r="R52" t="inlineStr">
        <is>
          <t>17.10.2027</t>
        </is>
      </c>
      <c r="S52" t="inlineStr">
        <is>
          <t>Хоз.способ</t>
        </is>
      </c>
      <c r="T52" t="inlineStr">
        <is>
          <t>XS</t>
        </is>
      </c>
      <c r="U52" t="inlineStr">
        <is>
          <t>ОТКР  ПКАЛ  ОБСЗ  ДМНП</t>
        </is>
      </c>
      <c r="V52" t="inlineStr">
        <is>
          <t>ПТОГ  СГГС  ГОД  МТРЦ</t>
        </is>
      </c>
      <c r="W52" t="inlineStr">
        <is>
          <t>Участок по ТОиР ТТ б</t>
        </is>
      </c>
      <c r="X52" t="inlineStr">
        <is>
          <t>APP1</t>
        </is>
      </c>
      <c r="Y52" t="inlineStr">
        <is>
          <t>ТОРО по ППР</t>
        </is>
      </c>
      <c r="Z52" t="inlineStr">
        <is>
          <t>Текущий ремонт</t>
        </is>
      </c>
      <c r="AA52" t="inlineStr">
        <is>
          <t>ТР</t>
        </is>
      </c>
      <c r="AB52" t="inlineStr">
        <is>
          <t>АТЦ_парк бульдозеров Komatsu D-155</t>
        </is>
      </c>
      <c r="AC52" t="inlineStr">
        <is>
          <t>АТЦ_парк бульдозеров Komatsu D-155</t>
        </is>
      </c>
      <c r="AD52" t="inlineStr">
        <is>
          <t>D155A-5</t>
        </is>
      </c>
      <c r="AE52" t="inlineStr">
        <is>
          <t>Муфта 07332-02000 Komatsu</t>
        </is>
      </c>
      <c r="AF52" t="inlineStr">
        <is>
          <t>661424</t>
        </is>
      </c>
      <c r="AG52" t="inlineStr">
        <is>
          <t>07332-02000</t>
        </is>
      </c>
      <c r="AH52" t="inlineStr">
        <is>
          <t>16.10.2027</t>
        </is>
      </c>
      <c r="AI52" t="inlineStr">
        <is>
          <t>#</t>
        </is>
      </c>
      <c r="AJ52" t="inlineStr">
        <is>
          <t>X</t>
        </is>
      </c>
      <c r="AK52" t="inlineStr">
        <is>
          <t>Калькуляц.: 100% релеван.</t>
        </is>
      </c>
      <c r="AL52" t="inlineStr">
        <is>
          <t>12.08.2026</t>
        </is>
      </c>
      <c r="AM52" t="inlineStr">
        <is>
          <t>Зап.самосвал.Komatsu</t>
        </is>
      </c>
      <c r="AN52" t="inlineStr">
        <is>
          <t>3.1.3.1</t>
        </is>
      </c>
      <c r="AO52" t="inlineStr">
        <is>
          <t>3I2</t>
        </is>
      </c>
      <c r="AP52" t="inlineStr">
        <is>
          <t>Полячкин Д.С.</t>
        </is>
      </c>
      <c r="AQ52" t="inlineStr">
        <is>
          <t>Начиная с деблокир.</t>
        </is>
      </c>
      <c r="AR52" t="inlineStr">
        <is>
          <t>Не срочная потребнос</t>
        </is>
      </c>
      <c r="AS52" t="inlineStr">
        <is>
          <t>L</t>
        </is>
      </c>
      <c r="AT52" t="inlineStr">
        <is>
          <t>Складская позиция</t>
        </is>
      </c>
      <c r="AU52" t="inlineStr">
        <is>
          <t>АО «Развитие» Иркутс</t>
        </is>
      </c>
      <c r="AV52" t="inlineStr">
        <is>
          <t>7102/100</t>
        </is>
      </c>
      <c r="AW52" t="inlineStr">
        <is>
          <t>Механика</t>
        </is>
      </c>
      <c r="AX52" t="inlineStr">
        <is>
          <t>Komatsu</t>
        </is>
      </c>
      <c r="AY52" t="inlineStr">
        <is>
          <t>Komatsu</t>
        </is>
      </c>
      <c r="AZ52" t="n">
        <v>20427.27</v>
      </c>
      <c r="BA52" t="n">
        <v>20427.27</v>
      </c>
      <c r="BB52" t="n">
        <v>1</v>
      </c>
      <c r="BC52" t="n">
        <v>0</v>
      </c>
      <c r="BD52" t="n">
        <v>0</v>
      </c>
      <c r="BF52" t="n">
        <v>0</v>
      </c>
      <c r="BG52" t="n">
        <v>0</v>
      </c>
      <c r="BH52" t="n">
        <v>0</v>
      </c>
    </row>
    <row r="53">
      <c r="B53" t="inlineStr">
        <is>
          <t>АО "Полюс Вернинское"</t>
        </is>
      </c>
      <c r="C53" t="inlineStr">
        <is>
          <t>Бульдозеры</t>
        </is>
      </c>
      <c r="D53" t="inlineStr">
        <is>
          <t>Бульдозеры</t>
        </is>
      </c>
      <c r="E53" t="inlineStr">
        <is>
          <t>OPEX (ремонты и ТО)</t>
        </is>
      </c>
      <c r="F53" t="inlineStr">
        <is>
          <t>Бульдозер гусеничный D155A-5 №1412</t>
        </is>
      </c>
      <c r="G53" t="inlineStr">
        <is>
          <t>100000009144</t>
        </is>
      </c>
      <c r="H53" t="inlineStr">
        <is>
          <t>1412</t>
        </is>
      </c>
      <c r="I53" t="inlineStr">
        <is>
          <t>Бульдозер гусеничный D155A-5 №1412</t>
        </is>
      </c>
      <c r="J53" t="inlineStr">
        <is>
          <t>03-RUD-UVSP-BZ06</t>
        </is>
      </c>
      <c r="K53" t="inlineStr">
        <is>
          <t>01.06.2014</t>
        </is>
      </c>
      <c r="L53" t="inlineStr">
        <is>
          <t>#</t>
        </is>
      </c>
      <c r="M53" t="inlineStr">
        <is>
          <t>01.01.2028</t>
        </is>
      </c>
      <c r="N53" t="inlineStr">
        <is>
          <t>1102737703</t>
        </is>
      </c>
      <c r="O53" t="inlineStr">
        <is>
          <t>ТР трансмиссии D155A-5 №1412</t>
        </is>
      </c>
      <c r="P53" t="inlineStr">
        <is>
          <t>#</t>
        </is>
      </c>
      <c r="Q53" t="inlineStr">
        <is>
          <t>16.10.2027</t>
        </is>
      </c>
      <c r="R53" t="inlineStr">
        <is>
          <t>17.10.2027</t>
        </is>
      </c>
      <c r="S53" t="inlineStr">
        <is>
          <t>Хоз.способ</t>
        </is>
      </c>
      <c r="T53" t="inlineStr">
        <is>
          <t>XS</t>
        </is>
      </c>
      <c r="U53" t="inlineStr">
        <is>
          <t>ОТКР  ПКАЛ  ОБСЗ  ДМНП</t>
        </is>
      </c>
      <c r="V53" t="inlineStr">
        <is>
          <t>ПТОГ  СГГС  ГОД  МТРЦ</t>
        </is>
      </c>
      <c r="W53" t="inlineStr">
        <is>
          <t>Участок по ТОиР ТТ б</t>
        </is>
      </c>
      <c r="X53" t="inlineStr">
        <is>
          <t>APP1</t>
        </is>
      </c>
      <c r="Y53" t="inlineStr">
        <is>
          <t>ТОРО по ППР</t>
        </is>
      </c>
      <c r="Z53" t="inlineStr">
        <is>
          <t>Текущий ремонт</t>
        </is>
      </c>
      <c r="AA53" t="inlineStr">
        <is>
          <t>ТР</t>
        </is>
      </c>
      <c r="AB53" t="inlineStr">
        <is>
          <t>АТЦ_парк бульдозеров Komatsu D-155</t>
        </is>
      </c>
      <c r="AC53" t="inlineStr">
        <is>
          <t>АТЦ_парк бульдозеров Komatsu D-155</t>
        </is>
      </c>
      <c r="AD53" t="inlineStr">
        <is>
          <t>D155A-5</t>
        </is>
      </c>
      <c r="AE53" t="inlineStr">
        <is>
          <t>Муфта СБ 17A-13-22170 Komatsu</t>
        </is>
      </c>
      <c r="AF53" t="inlineStr">
        <is>
          <t>623600</t>
        </is>
      </c>
      <c r="AG53" t="inlineStr">
        <is>
          <t>17A-13-22170</t>
        </is>
      </c>
      <c r="AH53" t="inlineStr">
        <is>
          <t>16.10.2027</t>
        </is>
      </c>
      <c r="AI53" t="inlineStr">
        <is>
          <t>#</t>
        </is>
      </c>
      <c r="AJ53" t="inlineStr">
        <is>
          <t>X</t>
        </is>
      </c>
      <c r="AK53" t="inlineStr">
        <is>
          <t>Калькуляц.: 100% релеван.</t>
        </is>
      </c>
      <c r="AL53" t="inlineStr">
        <is>
          <t>12.08.2026</t>
        </is>
      </c>
      <c r="AM53" t="inlineStr">
        <is>
          <t>Зап. к бульд.Komatsu</t>
        </is>
      </c>
      <c r="AN53" t="inlineStr">
        <is>
          <t>3.4.1.2</t>
        </is>
      </c>
      <c r="AO53" t="inlineStr">
        <is>
          <t>3I2</t>
        </is>
      </c>
      <c r="AP53" t="inlineStr">
        <is>
          <t>Полячкин Д.С.</t>
        </is>
      </c>
      <c r="AQ53" t="inlineStr">
        <is>
          <t>Начиная с деблокир.</t>
        </is>
      </c>
      <c r="AR53" t="inlineStr">
        <is>
          <t>Не срочная потребнос</t>
        </is>
      </c>
      <c r="AS53" t="inlineStr">
        <is>
          <t>L</t>
        </is>
      </c>
      <c r="AT53" t="inlineStr">
        <is>
          <t>Складская позиция</t>
        </is>
      </c>
      <c r="AU53" t="inlineStr">
        <is>
          <t>АО «Развитие» Иркутс</t>
        </is>
      </c>
      <c r="AV53" t="inlineStr">
        <is>
          <t>7102/100</t>
        </is>
      </c>
      <c r="AW53" t="inlineStr">
        <is>
          <t>Механика</t>
        </is>
      </c>
      <c r="AX53" t="inlineStr">
        <is>
          <t>Komatsu</t>
        </is>
      </c>
      <c r="AY53" t="inlineStr">
        <is>
          <t>Komatsu</t>
        </is>
      </c>
      <c r="AZ53" t="n">
        <v>402505.15</v>
      </c>
      <c r="BA53" t="n">
        <v>402505.15</v>
      </c>
      <c r="BB53" t="n">
        <v>1</v>
      </c>
      <c r="BC53" t="n">
        <v>0</v>
      </c>
      <c r="BD53" t="n">
        <v>0</v>
      </c>
      <c r="BF53" t="n">
        <v>0</v>
      </c>
      <c r="BG53" t="n">
        <v>0</v>
      </c>
      <c r="BH53" t="n">
        <v>0</v>
      </c>
    </row>
    <row r="54">
      <c r="B54" t="inlineStr">
        <is>
          <t>АО "Полюс Вернинское"</t>
        </is>
      </c>
      <c r="C54" t="inlineStr">
        <is>
          <t>Бульдозеры</t>
        </is>
      </c>
      <c r="D54" t="inlineStr">
        <is>
          <t>Бульдозеры</t>
        </is>
      </c>
      <c r="E54" t="inlineStr">
        <is>
          <t>OPEX (ремонты и ТО)</t>
        </is>
      </c>
      <c r="F54" t="inlineStr">
        <is>
          <t>Бульдозер гусеничный D155A-5 №1412</t>
        </is>
      </c>
      <c r="G54" t="inlineStr">
        <is>
          <t>100000009144</t>
        </is>
      </c>
      <c r="H54" t="inlineStr">
        <is>
          <t>1412</t>
        </is>
      </c>
      <c r="I54" t="inlineStr">
        <is>
          <t>Бульдозер гусеничный D155A-5 №1412</t>
        </is>
      </c>
      <c r="J54" t="inlineStr">
        <is>
          <t>03-RUD-UVSP-BZ06</t>
        </is>
      </c>
      <c r="K54" t="inlineStr">
        <is>
          <t>01.06.2014</t>
        </is>
      </c>
      <c r="L54" t="inlineStr">
        <is>
          <t>#</t>
        </is>
      </c>
      <c r="M54" t="inlineStr">
        <is>
          <t>01.01.2028</t>
        </is>
      </c>
      <c r="N54" t="inlineStr">
        <is>
          <t>1102737703</t>
        </is>
      </c>
      <c r="O54" t="inlineStr">
        <is>
          <t>ТР трансмиссии D155A-5 №1412</t>
        </is>
      </c>
      <c r="P54" t="inlineStr">
        <is>
          <t>#</t>
        </is>
      </c>
      <c r="Q54" t="inlineStr">
        <is>
          <t>16.10.2027</t>
        </is>
      </c>
      <c r="R54" t="inlineStr">
        <is>
          <t>17.10.2027</t>
        </is>
      </c>
      <c r="S54" t="inlineStr">
        <is>
          <t>Хоз.способ</t>
        </is>
      </c>
      <c r="T54" t="inlineStr">
        <is>
          <t>XS</t>
        </is>
      </c>
      <c r="U54" t="inlineStr">
        <is>
          <t>ОТКР  ПКАЛ  ОБСЗ  ДМНП</t>
        </is>
      </c>
      <c r="V54" t="inlineStr">
        <is>
          <t>ПТОГ  СГГС  ГОД  МТРЦ</t>
        </is>
      </c>
      <c r="W54" t="inlineStr">
        <is>
          <t>Участок по ТОиР ТТ б</t>
        </is>
      </c>
      <c r="X54" t="inlineStr">
        <is>
          <t>APP1</t>
        </is>
      </c>
      <c r="Y54" t="inlineStr">
        <is>
          <t>ТОРО по ППР</t>
        </is>
      </c>
      <c r="Z54" t="inlineStr">
        <is>
          <t>Текущий ремонт</t>
        </is>
      </c>
      <c r="AA54" t="inlineStr">
        <is>
          <t>ТР</t>
        </is>
      </c>
      <c r="AB54" t="inlineStr">
        <is>
          <t>АТЦ_парк бульдозеров Komatsu D-155</t>
        </is>
      </c>
      <c r="AC54" t="inlineStr">
        <is>
          <t>АТЦ_парк бульдозеров Komatsu D-155</t>
        </is>
      </c>
      <c r="AD54" t="inlineStr">
        <is>
          <t>D155A-5</t>
        </is>
      </c>
      <c r="AE54" t="inlineStr">
        <is>
          <t>Набор сервис.17A-15-05111 Komatsu</t>
        </is>
      </c>
      <c r="AF54" t="inlineStr">
        <is>
          <t>798666</t>
        </is>
      </c>
      <c r="AG54" t="inlineStr">
        <is>
          <t>17A-15-05111</t>
        </is>
      </c>
      <c r="AH54" t="inlineStr">
        <is>
          <t>16.10.2027</t>
        </is>
      </c>
      <c r="AI54" t="inlineStr">
        <is>
          <t>#</t>
        </is>
      </c>
      <c r="AJ54" t="inlineStr">
        <is>
          <t>X</t>
        </is>
      </c>
      <c r="AK54" t="inlineStr">
        <is>
          <t>Калькуляц.: 100% релеван.</t>
        </is>
      </c>
      <c r="AL54" t="inlineStr">
        <is>
          <t>12.08.2026</t>
        </is>
      </c>
      <c r="AM54" t="inlineStr">
        <is>
          <t>Зап. к бульд.Komatsu</t>
        </is>
      </c>
      <c r="AN54" t="inlineStr">
        <is>
          <t>3.4.1.2</t>
        </is>
      </c>
      <c r="AO54" t="inlineStr">
        <is>
          <t>3I2</t>
        </is>
      </c>
      <c r="AP54" t="inlineStr">
        <is>
          <t>Полячкин Д.С.</t>
        </is>
      </c>
      <c r="AQ54" t="inlineStr">
        <is>
          <t>Начиная с деблокир.</t>
        </is>
      </c>
      <c r="AR54" t="inlineStr">
        <is>
          <t>Не срочная потребнос</t>
        </is>
      </c>
      <c r="AS54" t="inlineStr">
        <is>
          <t>L</t>
        </is>
      </c>
      <c r="AT54" t="inlineStr">
        <is>
          <t>Складская позиция</t>
        </is>
      </c>
      <c r="AU54" t="inlineStr">
        <is>
          <t>АО «Развитие» Иркутс</t>
        </is>
      </c>
      <c r="AV54" t="inlineStr">
        <is>
          <t>7102/100</t>
        </is>
      </c>
      <c r="AW54" t="inlineStr">
        <is>
          <t>Механика</t>
        </is>
      </c>
      <c r="AX54" t="inlineStr">
        <is>
          <t>Komatsu</t>
        </is>
      </c>
      <c r="AY54" t="inlineStr">
        <is>
          <t>Komatsu</t>
        </is>
      </c>
      <c r="AZ54" t="n">
        <v>66532.45</v>
      </c>
      <c r="BA54" t="n">
        <v>66532.45</v>
      </c>
      <c r="BB54" t="n">
        <v>1</v>
      </c>
      <c r="BC54" t="n">
        <v>0</v>
      </c>
      <c r="BD54" t="n">
        <v>0</v>
      </c>
      <c r="BF54" t="n">
        <v>0</v>
      </c>
      <c r="BG54" t="n">
        <v>0</v>
      </c>
      <c r="BH54" t="n">
        <v>0</v>
      </c>
    </row>
    <row r="55">
      <c r="B55" t="inlineStr">
        <is>
          <t>АО "Полюс Вернинское"</t>
        </is>
      </c>
      <c r="C55" t="inlineStr">
        <is>
          <t>Бульдозеры</t>
        </is>
      </c>
      <c r="D55" t="inlineStr">
        <is>
          <t>Бульдозеры</t>
        </is>
      </c>
      <c r="E55" t="inlineStr">
        <is>
          <t>OPEX (ремонты и ТО)</t>
        </is>
      </c>
      <c r="F55" t="inlineStr">
        <is>
          <t>Бульдозер гусеничный D155A-5 №1412</t>
        </is>
      </c>
      <c r="G55" t="inlineStr">
        <is>
          <t>100000009144</t>
        </is>
      </c>
      <c r="H55" t="inlineStr">
        <is>
          <t>1412</t>
        </is>
      </c>
      <c r="I55" t="inlineStr">
        <is>
          <t>Бульдозер гусеничный D155A-5 №1412</t>
        </is>
      </c>
      <c r="J55" t="inlineStr">
        <is>
          <t>03-RUD-UVSP-BZ06</t>
        </is>
      </c>
      <c r="K55" t="inlineStr">
        <is>
          <t>01.06.2014</t>
        </is>
      </c>
      <c r="L55" t="inlineStr">
        <is>
          <t>#</t>
        </is>
      </c>
      <c r="M55" t="inlineStr">
        <is>
          <t>01.01.2028</t>
        </is>
      </c>
      <c r="N55" t="inlineStr">
        <is>
          <t>1102737703</t>
        </is>
      </c>
      <c r="O55" t="inlineStr">
        <is>
          <t>ТР трансмиссии D155A-5 №1412</t>
        </is>
      </c>
      <c r="P55" t="inlineStr">
        <is>
          <t>#</t>
        </is>
      </c>
      <c r="Q55" t="inlineStr">
        <is>
          <t>16.10.2027</t>
        </is>
      </c>
      <c r="R55" t="inlineStr">
        <is>
          <t>17.10.2027</t>
        </is>
      </c>
      <c r="S55" t="inlineStr">
        <is>
          <t>Хоз.способ</t>
        </is>
      </c>
      <c r="T55" t="inlineStr">
        <is>
          <t>XS</t>
        </is>
      </c>
      <c r="U55" t="inlineStr">
        <is>
          <t>ОТКР  ПКАЛ  ОБСЗ  ДМНП</t>
        </is>
      </c>
      <c r="V55" t="inlineStr">
        <is>
          <t>ПТОГ  СГГС  ГОД  МТРЦ</t>
        </is>
      </c>
      <c r="W55" t="inlineStr">
        <is>
          <t>Участок по ТОиР ТТ б</t>
        </is>
      </c>
      <c r="X55" t="inlineStr">
        <is>
          <t>APP1</t>
        </is>
      </c>
      <c r="Y55" t="inlineStr">
        <is>
          <t>ТОРО по ППР</t>
        </is>
      </c>
      <c r="Z55" t="inlineStr">
        <is>
          <t>Текущий ремонт</t>
        </is>
      </c>
      <c r="AA55" t="inlineStr">
        <is>
          <t>ТР</t>
        </is>
      </c>
      <c r="AB55" t="inlineStr">
        <is>
          <t>АТЦ_парк бульдозеров Komatsu D-155</t>
        </is>
      </c>
      <c r="AC55" t="inlineStr">
        <is>
          <t>АТЦ_парк бульдозеров Komatsu D-155</t>
        </is>
      </c>
      <c r="AD55" t="inlineStr">
        <is>
          <t>D155A-5</t>
        </is>
      </c>
      <c r="AE55" t="inlineStr">
        <is>
          <t>Набор сервис.17A-15-05150 Komatsu</t>
        </is>
      </c>
      <c r="AF55" t="inlineStr">
        <is>
          <t>624349</t>
        </is>
      </c>
      <c r="AG55" t="inlineStr">
        <is>
          <t>17A-15-05150</t>
        </is>
      </c>
      <c r="AH55" t="inlineStr">
        <is>
          <t>16.10.2027</t>
        </is>
      </c>
      <c r="AI55" t="inlineStr">
        <is>
          <t>#</t>
        </is>
      </c>
      <c r="AJ55" t="inlineStr">
        <is>
          <t>X</t>
        </is>
      </c>
      <c r="AK55" t="inlineStr">
        <is>
          <t>Калькуляц.: 100% релеван.</t>
        </is>
      </c>
      <c r="AL55" t="inlineStr">
        <is>
          <t>12.08.2026</t>
        </is>
      </c>
      <c r="AM55" t="inlineStr">
        <is>
          <t>Зап. к бульд.Komatsu</t>
        </is>
      </c>
      <c r="AN55" t="inlineStr">
        <is>
          <t>3.4.1.2</t>
        </is>
      </c>
      <c r="AO55" t="inlineStr">
        <is>
          <t>3I2</t>
        </is>
      </c>
      <c r="AP55" t="inlineStr">
        <is>
          <t>Полячкин Д.С.</t>
        </is>
      </c>
      <c r="AQ55" t="inlineStr">
        <is>
          <t>Начиная с деблокир.</t>
        </is>
      </c>
      <c r="AR55" t="inlineStr">
        <is>
          <t>Не срочная потребнос</t>
        </is>
      </c>
      <c r="AS55" t="inlineStr">
        <is>
          <t>L</t>
        </is>
      </c>
      <c r="AT55" t="inlineStr">
        <is>
          <t>Складская позиция</t>
        </is>
      </c>
      <c r="AU55" t="inlineStr">
        <is>
          <t>АО «Развитие» Иркутс</t>
        </is>
      </c>
      <c r="AV55" t="inlineStr">
        <is>
          <t>7102/100</t>
        </is>
      </c>
      <c r="AW55" t="inlineStr">
        <is>
          <t>Механика</t>
        </is>
      </c>
      <c r="AX55" t="inlineStr">
        <is>
          <t>Komatsu</t>
        </is>
      </c>
      <c r="AY55" t="inlineStr">
        <is>
          <t>Komatsu</t>
        </is>
      </c>
      <c r="AZ55" t="n">
        <v>12275.46</v>
      </c>
      <c r="BA55" t="n">
        <v>12275.46</v>
      </c>
      <c r="BB55" t="n">
        <v>1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</row>
    <row r="56">
      <c r="B56" t="inlineStr">
        <is>
          <t>АО "Полюс Вернинское"</t>
        </is>
      </c>
      <c r="C56" t="inlineStr">
        <is>
          <t>Бульдозеры</t>
        </is>
      </c>
      <c r="D56" t="inlineStr">
        <is>
          <t>Бульдозеры</t>
        </is>
      </c>
      <c r="E56" t="inlineStr">
        <is>
          <t>OPEX (ремонты и ТО)</t>
        </is>
      </c>
      <c r="F56" t="inlineStr">
        <is>
          <t>Бульдозер гусеничный D155A-5 №1412</t>
        </is>
      </c>
      <c r="G56" t="inlineStr">
        <is>
          <t>100000009144</t>
        </is>
      </c>
      <c r="H56" t="inlineStr">
        <is>
          <t>1412</t>
        </is>
      </c>
      <c r="I56" t="inlineStr">
        <is>
          <t>Бульдозер гусеничный D155A-5 №1412</t>
        </is>
      </c>
      <c r="J56" t="inlineStr">
        <is>
          <t>03-RUD-UVSP-BZ06</t>
        </is>
      </c>
      <c r="K56" t="inlineStr">
        <is>
          <t>01.06.2014</t>
        </is>
      </c>
      <c r="L56" t="inlineStr">
        <is>
          <t>#</t>
        </is>
      </c>
      <c r="M56" t="inlineStr">
        <is>
          <t>01.01.2028</t>
        </is>
      </c>
      <c r="N56" t="inlineStr">
        <is>
          <t>1102737703</t>
        </is>
      </c>
      <c r="O56" t="inlineStr">
        <is>
          <t>ТР трансмиссии D155A-5 №1412</t>
        </is>
      </c>
      <c r="P56" t="inlineStr">
        <is>
          <t>#</t>
        </is>
      </c>
      <c r="Q56" t="inlineStr">
        <is>
          <t>16.10.2027</t>
        </is>
      </c>
      <c r="R56" t="inlineStr">
        <is>
          <t>17.10.2027</t>
        </is>
      </c>
      <c r="S56" t="inlineStr">
        <is>
          <t>Хоз.способ</t>
        </is>
      </c>
      <c r="T56" t="inlineStr">
        <is>
          <t>XS</t>
        </is>
      </c>
      <c r="U56" t="inlineStr">
        <is>
          <t>ОТКР  ПКАЛ  ОБСЗ  ДМНП</t>
        </is>
      </c>
      <c r="V56" t="inlineStr">
        <is>
          <t>ПТОГ  СГГС  ГОД  МТРЦ</t>
        </is>
      </c>
      <c r="W56" t="inlineStr">
        <is>
          <t>Участок по ТОиР ТТ б</t>
        </is>
      </c>
      <c r="X56" t="inlineStr">
        <is>
          <t>APP1</t>
        </is>
      </c>
      <c r="Y56" t="inlineStr">
        <is>
          <t>ТОРО по ППР</t>
        </is>
      </c>
      <c r="Z56" t="inlineStr">
        <is>
          <t>Текущий ремонт</t>
        </is>
      </c>
      <c r="AA56" t="inlineStr">
        <is>
          <t>ТР</t>
        </is>
      </c>
      <c r="AB56" t="inlineStr">
        <is>
          <t>АТЦ_парк бульдозеров Komatsu D-155</t>
        </is>
      </c>
      <c r="AC56" t="inlineStr">
        <is>
          <t>АТЦ_парк бульдозеров Komatsu D-155</t>
        </is>
      </c>
      <c r="AD56" t="inlineStr">
        <is>
          <t>D155A-5</t>
        </is>
      </c>
      <c r="AE56" t="inlineStr">
        <is>
          <t>Насос СБ 705-51-30290 Komatsu</t>
        </is>
      </c>
      <c r="AF56" t="inlineStr">
        <is>
          <t>624731</t>
        </is>
      </c>
      <c r="AG56" t="inlineStr">
        <is>
          <t>705-51-30290</t>
        </is>
      </c>
      <c r="AH56" t="inlineStr">
        <is>
          <t>16.10.2027</t>
        </is>
      </c>
      <c r="AI56" t="inlineStr">
        <is>
          <t>#</t>
        </is>
      </c>
      <c r="AJ56" t="inlineStr">
        <is>
          <t>X</t>
        </is>
      </c>
      <c r="AK56" t="inlineStr">
        <is>
          <t>Калькуляц.: 100% релеван.</t>
        </is>
      </c>
      <c r="AL56" t="inlineStr">
        <is>
          <t>12.08.2026</t>
        </is>
      </c>
      <c r="AM56" t="inlineStr">
        <is>
          <t>Зап. к бульд.Komatsu</t>
        </is>
      </c>
      <c r="AN56" t="inlineStr">
        <is>
          <t>3.4.1.2</t>
        </is>
      </c>
      <c r="AO56" t="inlineStr">
        <is>
          <t>3I2</t>
        </is>
      </c>
      <c r="AP56" t="inlineStr">
        <is>
          <t>Полячкин Д.С.</t>
        </is>
      </c>
      <c r="AQ56" t="inlineStr">
        <is>
          <t>Начиная с деблокир.</t>
        </is>
      </c>
      <c r="AR56" t="inlineStr">
        <is>
          <t>Не срочная потребнос</t>
        </is>
      </c>
      <c r="AS56" t="inlineStr">
        <is>
          <t>L</t>
        </is>
      </c>
      <c r="AT56" t="inlineStr">
        <is>
          <t>Складская позиция</t>
        </is>
      </c>
      <c r="AU56" t="inlineStr">
        <is>
          <t>АО «Развитие» Иркутс</t>
        </is>
      </c>
      <c r="AV56" t="inlineStr">
        <is>
          <t>7102/100</t>
        </is>
      </c>
      <c r="AW56" t="inlineStr">
        <is>
          <t>Механика</t>
        </is>
      </c>
      <c r="AX56" t="inlineStr">
        <is>
          <t>Komatsu</t>
        </is>
      </c>
      <c r="AY56" t="inlineStr">
        <is>
          <t>Komatsu</t>
        </is>
      </c>
      <c r="AZ56" t="n">
        <v>433071.74</v>
      </c>
      <c r="BA56" t="n">
        <v>433071.74</v>
      </c>
      <c r="BB56" t="n">
        <v>1</v>
      </c>
      <c r="BC56" t="n">
        <v>0</v>
      </c>
      <c r="BD56" t="n">
        <v>0</v>
      </c>
      <c r="BF56" t="n">
        <v>0</v>
      </c>
      <c r="BG56" t="n">
        <v>0</v>
      </c>
      <c r="BH56" t="n">
        <v>0</v>
      </c>
    </row>
    <row r="57">
      <c r="B57" t="inlineStr">
        <is>
          <t>АО "Полюс Вернинское"</t>
        </is>
      </c>
      <c r="C57" t="inlineStr">
        <is>
          <t>Бульдозеры</t>
        </is>
      </c>
      <c r="D57" t="inlineStr">
        <is>
          <t>Бульдозеры</t>
        </is>
      </c>
      <c r="E57" t="inlineStr">
        <is>
          <t>OPEX (ремонты и ТО)</t>
        </is>
      </c>
      <c r="F57" t="inlineStr">
        <is>
          <t>Бульдозер гусеничный D155A-5 №1412</t>
        </is>
      </c>
      <c r="G57" t="inlineStr">
        <is>
          <t>100000009144</t>
        </is>
      </c>
      <c r="H57" t="inlineStr">
        <is>
          <t>1412</t>
        </is>
      </c>
      <c r="I57" t="inlineStr">
        <is>
          <t>Бульдозер гусеничный D155A-5 №1412</t>
        </is>
      </c>
      <c r="J57" t="inlineStr">
        <is>
          <t>03-RUD-UVSP-BZ06</t>
        </is>
      </c>
      <c r="K57" t="inlineStr">
        <is>
          <t>01.06.2014</t>
        </is>
      </c>
      <c r="L57" t="inlineStr">
        <is>
          <t>#</t>
        </is>
      </c>
      <c r="M57" t="inlineStr">
        <is>
          <t>01.01.2028</t>
        </is>
      </c>
      <c r="N57" t="inlineStr">
        <is>
          <t>1102737703</t>
        </is>
      </c>
      <c r="O57" t="inlineStr">
        <is>
          <t>ТР трансмиссии D155A-5 №1412</t>
        </is>
      </c>
      <c r="P57" t="inlineStr">
        <is>
          <t>#</t>
        </is>
      </c>
      <c r="Q57" t="inlineStr">
        <is>
          <t>16.10.2027</t>
        </is>
      </c>
      <c r="R57" t="inlineStr">
        <is>
          <t>17.10.2027</t>
        </is>
      </c>
      <c r="S57" t="inlineStr">
        <is>
          <t>Хоз.способ</t>
        </is>
      </c>
      <c r="T57" t="inlineStr">
        <is>
          <t>XS</t>
        </is>
      </c>
      <c r="U57" t="inlineStr">
        <is>
          <t>ОТКР  ПКАЛ  ОБСЗ  ДМНП</t>
        </is>
      </c>
      <c r="V57" t="inlineStr">
        <is>
          <t>ПТОГ  СГГС  ГОД  МТРЦ</t>
        </is>
      </c>
      <c r="W57" t="inlineStr">
        <is>
          <t>Участок по ТОиР ТТ б</t>
        </is>
      </c>
      <c r="X57" t="inlineStr">
        <is>
          <t>APP1</t>
        </is>
      </c>
      <c r="Y57" t="inlineStr">
        <is>
          <t>ТОРО по ППР</t>
        </is>
      </c>
      <c r="Z57" t="inlineStr">
        <is>
          <t>Текущий ремонт</t>
        </is>
      </c>
      <c r="AA57" t="inlineStr">
        <is>
          <t>ТР</t>
        </is>
      </c>
      <c r="AB57" t="inlineStr">
        <is>
          <t>АТЦ_парк бульдозеров Komatsu D-155</t>
        </is>
      </c>
      <c r="AC57" t="inlineStr">
        <is>
          <t>АТЦ_парк бульдозеров Komatsu D-155</t>
        </is>
      </c>
      <c r="AD57" t="inlineStr">
        <is>
          <t>D155A-5</t>
        </is>
      </c>
      <c r="AE57" t="inlineStr">
        <is>
          <t>Сальн.17A-13-29180 Komatsu</t>
        </is>
      </c>
      <c r="AF57" t="inlineStr">
        <is>
          <t>650171</t>
        </is>
      </c>
      <c r="AG57" t="inlineStr">
        <is>
          <t>17A-13-29180</t>
        </is>
      </c>
      <c r="AH57" t="inlineStr">
        <is>
          <t>16.10.2027</t>
        </is>
      </c>
      <c r="AI57" t="inlineStr">
        <is>
          <t>#</t>
        </is>
      </c>
      <c r="AJ57" t="inlineStr">
        <is>
          <t>X</t>
        </is>
      </c>
      <c r="AK57" t="inlineStr">
        <is>
          <t>Калькуляц.: 100% релеван.</t>
        </is>
      </c>
      <c r="AL57" t="inlineStr">
        <is>
          <t>12.08.2026</t>
        </is>
      </c>
      <c r="AM57" t="inlineStr">
        <is>
          <t>Зап. к бульд.Komatsu</t>
        </is>
      </c>
      <c r="AN57" t="inlineStr">
        <is>
          <t>3.4.1.2</t>
        </is>
      </c>
      <c r="AO57" t="inlineStr">
        <is>
          <t>3I2</t>
        </is>
      </c>
      <c r="AP57" t="inlineStr">
        <is>
          <t>Полячкин Д.С.</t>
        </is>
      </c>
      <c r="AQ57" t="inlineStr">
        <is>
          <t>Начиная с деблокир.</t>
        </is>
      </c>
      <c r="AR57" t="inlineStr">
        <is>
          <t>Не срочная потребнос</t>
        </is>
      </c>
      <c r="AS57" t="inlineStr">
        <is>
          <t>L</t>
        </is>
      </c>
      <c r="AT57" t="inlineStr">
        <is>
          <t>Складская позиция</t>
        </is>
      </c>
      <c r="AU57" t="inlineStr">
        <is>
          <t>АО «Развитие» Иркутс</t>
        </is>
      </c>
      <c r="AV57" t="inlineStr">
        <is>
          <t>7102/100</t>
        </is>
      </c>
      <c r="AW57" t="inlineStr">
        <is>
          <t>Механика</t>
        </is>
      </c>
      <c r="AX57" t="inlineStr">
        <is>
          <t>Komatsu</t>
        </is>
      </c>
      <c r="AY57" t="inlineStr">
        <is>
          <t>Komatsu</t>
        </is>
      </c>
      <c r="AZ57" t="n">
        <v>20547.08</v>
      </c>
      <c r="BA57" t="n">
        <v>20547.08</v>
      </c>
      <c r="BB57" t="n">
        <v>1</v>
      </c>
      <c r="BC57" t="n">
        <v>0</v>
      </c>
      <c r="BD57" t="n">
        <v>0</v>
      </c>
      <c r="BF57" t="n">
        <v>0</v>
      </c>
      <c r="BG57" t="n">
        <v>0</v>
      </c>
      <c r="BH57" t="n">
        <v>0</v>
      </c>
    </row>
    <row r="58">
      <c r="B58" t="inlineStr">
        <is>
          <t>АО "Полюс Вернинское"</t>
        </is>
      </c>
      <c r="C58" t="inlineStr">
        <is>
          <t>Бульдозеры</t>
        </is>
      </c>
      <c r="D58" t="inlineStr">
        <is>
          <t>Бульдозеры</t>
        </is>
      </c>
      <c r="E58" t="inlineStr">
        <is>
          <t>OPEX (ремонты и ТО)</t>
        </is>
      </c>
      <c r="F58" t="inlineStr">
        <is>
          <t>Бульдозер гусеничный D155A-5 №1412</t>
        </is>
      </c>
      <c r="G58" t="inlineStr">
        <is>
          <t>100000009144</t>
        </is>
      </c>
      <c r="H58" t="inlineStr">
        <is>
          <t>1412</t>
        </is>
      </c>
      <c r="I58" t="inlineStr">
        <is>
          <t>Бульдозер гусеничный D155A-5 №1412</t>
        </is>
      </c>
      <c r="J58" t="inlineStr">
        <is>
          <t>03-RUD-UVSP-BZ06</t>
        </is>
      </c>
      <c r="K58" t="inlineStr">
        <is>
          <t>01.06.2014</t>
        </is>
      </c>
      <c r="L58" t="inlineStr">
        <is>
          <t>#</t>
        </is>
      </c>
      <c r="M58" t="inlineStr">
        <is>
          <t>01.01.2028</t>
        </is>
      </c>
      <c r="N58" t="inlineStr">
        <is>
          <t>1102737705</t>
        </is>
      </c>
      <c r="O58" t="inlineStr">
        <is>
          <t>ТР рабочего оборудования D155A-5 №1412</t>
        </is>
      </c>
      <c r="P58" t="inlineStr">
        <is>
          <t>#</t>
        </is>
      </c>
      <c r="Q58" t="inlineStr">
        <is>
          <t>02.10.2027</t>
        </is>
      </c>
      <c r="R58" t="inlineStr">
        <is>
          <t>03.10.2027</t>
        </is>
      </c>
      <c r="S58" t="inlineStr">
        <is>
          <t>Хоз.способ</t>
        </is>
      </c>
      <c r="T58" t="inlineStr">
        <is>
          <t>XS</t>
        </is>
      </c>
      <c r="U58" t="inlineStr">
        <is>
          <t>ОШОЗ  ДМНП  ОТКР  ПКАЛ  ОБСЗ</t>
        </is>
      </c>
      <c r="V58" t="inlineStr">
        <is>
          <t>ПТОГ  СГГС  ГОД  МТРЦ</t>
        </is>
      </c>
      <c r="W58" t="inlineStr">
        <is>
          <t>Участок по ТОиР ТТ б</t>
        </is>
      </c>
      <c r="X58" t="inlineStr">
        <is>
          <t>APP1</t>
        </is>
      </c>
      <c r="Y58" t="inlineStr">
        <is>
          <t>ТОРО по ППР</t>
        </is>
      </c>
      <c r="Z58" t="inlineStr">
        <is>
          <t>Текущий ремонт</t>
        </is>
      </c>
      <c r="AA58" t="inlineStr">
        <is>
          <t>ТР</t>
        </is>
      </c>
      <c r="AB58" t="inlineStr">
        <is>
          <t>АТЦ_парк бульдозеров Komatsu D-155</t>
        </is>
      </c>
      <c r="AC58" t="inlineStr">
        <is>
          <t>АТЦ_парк бульдозеров Komatsu D-155</t>
        </is>
      </c>
      <c r="AD58" t="inlineStr">
        <is>
          <t>D155A-5</t>
        </is>
      </c>
      <c r="AE58" t="inlineStr">
        <is>
          <t>Бугель 17A-71-12241 Komatsu</t>
        </is>
      </c>
      <c r="AF58" t="inlineStr">
        <is>
          <t>653468</t>
        </is>
      </c>
      <c r="AG58" t="inlineStr">
        <is>
          <t>17A-71-12241</t>
        </is>
      </c>
      <c r="AH58" t="inlineStr">
        <is>
          <t>02.10.2027</t>
        </is>
      </c>
      <c r="AI58" t="inlineStr">
        <is>
          <t>#</t>
        </is>
      </c>
      <c r="AJ58" t="inlineStr">
        <is>
          <t>X</t>
        </is>
      </c>
      <c r="AK58" t="inlineStr">
        <is>
          <t>Калькуляц.: 100% релеван.</t>
        </is>
      </c>
      <c r="AL58" t="inlineStr">
        <is>
          <t>12.08.2026</t>
        </is>
      </c>
      <c r="AM58" t="inlineStr">
        <is>
          <t>Зап. к бульд.Komatsu</t>
        </is>
      </c>
      <c r="AN58" t="inlineStr">
        <is>
          <t>3.4.1.2</t>
        </is>
      </c>
      <c r="AO58" t="inlineStr">
        <is>
          <t>3I2</t>
        </is>
      </c>
      <c r="AP58" t="inlineStr">
        <is>
          <t>Полячкин Д.С.</t>
        </is>
      </c>
      <c r="AQ58" t="inlineStr">
        <is>
          <t>Начиная с деблокир.</t>
        </is>
      </c>
      <c r="AR58" t="inlineStr">
        <is>
          <t>Не срочная потребнос</t>
        </is>
      </c>
      <c r="AS58" t="inlineStr">
        <is>
          <t>L</t>
        </is>
      </c>
      <c r="AT58" t="inlineStr">
        <is>
          <t>Складская позиция</t>
        </is>
      </c>
      <c r="AU58" t="inlineStr">
        <is>
          <t>АО «Развитие» Иркутс</t>
        </is>
      </c>
      <c r="AV58" t="inlineStr">
        <is>
          <t>7102/100</t>
        </is>
      </c>
      <c r="AW58" t="inlineStr">
        <is>
          <t>Механика</t>
        </is>
      </c>
      <c r="AX58" t="inlineStr">
        <is>
          <t>Komatsu</t>
        </is>
      </c>
      <c r="AY58" t="inlineStr">
        <is>
          <t>Komatsu</t>
        </is>
      </c>
      <c r="AZ58" t="n">
        <v>737858.54</v>
      </c>
      <c r="BA58" t="n">
        <v>368929.27</v>
      </c>
      <c r="BB58" t="n">
        <v>2</v>
      </c>
      <c r="BC58" t="n">
        <v>0</v>
      </c>
      <c r="BD58" t="n">
        <v>0</v>
      </c>
      <c r="BF58" t="n">
        <v>0</v>
      </c>
      <c r="BG58" t="n">
        <v>0</v>
      </c>
      <c r="BH58" t="n">
        <v>0</v>
      </c>
    </row>
    <row r="59">
      <c r="B59" t="inlineStr">
        <is>
          <t>ООО "Полюс Сухой Лог"</t>
        </is>
      </c>
      <c r="C59" t="inlineStr">
        <is>
          <t>Погрузка</t>
        </is>
      </c>
      <c r="D59" t="inlineStr">
        <is>
          <t>Погрузка</t>
        </is>
      </c>
      <c r="E59" t="inlineStr">
        <is>
          <t>OPEX (ремонты и ТО)</t>
        </is>
      </c>
      <c r="F59" t="inlineStr">
        <is>
          <t>Экскаватор электрический WK-20 №1220</t>
        </is>
      </c>
      <c r="G59" t="inlineStr">
        <is>
          <t>100000133802</t>
        </is>
      </c>
      <c r="H59" t="inlineStr">
        <is>
          <t>1220</t>
        </is>
      </c>
      <c r="I59" t="inlineStr">
        <is>
          <t>Экскаватор электрический WK-20 №1220</t>
        </is>
      </c>
      <c r="J59" t="inlineStr">
        <is>
          <t>06-ATC-EKSK-OOBR-EXCV-EX04</t>
        </is>
      </c>
      <c r="K59" t="inlineStr">
        <is>
          <t>01.03.2024</t>
        </is>
      </c>
      <c r="L59" t="inlineStr">
        <is>
          <t>01.03.2024</t>
        </is>
      </c>
      <c r="M59" t="inlineStr">
        <is>
          <t>30.06.2039</t>
        </is>
      </c>
      <c r="N59" t="inlineStr">
        <is>
          <t>1102690033</t>
        </is>
      </c>
      <c r="O59" t="inlineStr">
        <is>
          <t>ТР кабины WK-20 №1220</t>
        </is>
      </c>
      <c r="P59" t="inlineStr">
        <is>
          <t>#</t>
        </is>
      </c>
      <c r="Q59" t="inlineStr">
        <is>
          <t>06.06.2027</t>
        </is>
      </c>
      <c r="R59" t="inlineStr">
        <is>
          <t>07.06.2027</t>
        </is>
      </c>
      <c r="S59" t="inlineStr">
        <is>
          <t>Хоз.способ</t>
        </is>
      </c>
      <c r="T59" t="inlineStr">
        <is>
          <t>XS</t>
        </is>
      </c>
      <c r="U59" t="inlineStr">
        <is>
          <t>ОШОЗ  ДМНП  ОТКР  ПКАЛ  ОБСЗ</t>
        </is>
      </c>
      <c r="V59" t="inlineStr">
        <is>
          <t>СРОЧ  ПТОГ  СГГС  ГОД  МТРЦ</t>
        </is>
      </c>
      <c r="W59" t="inlineStr">
        <is>
          <t>Участок по ТОиР ТТ б</t>
        </is>
      </c>
      <c r="X59" t="inlineStr">
        <is>
          <t>APP1</t>
        </is>
      </c>
      <c r="Y59" t="inlineStr">
        <is>
          <t>ТОРО по ППР</t>
        </is>
      </c>
      <c r="Z59" t="inlineStr">
        <is>
          <t>Текущий ремонт</t>
        </is>
      </c>
      <c r="AA59" t="inlineStr">
        <is>
          <t>ТР</t>
        </is>
      </c>
      <c r="AB59" t="inlineStr">
        <is>
          <t>Парк экскаваторов WK-20</t>
        </is>
      </c>
      <c r="AC59" t="inlineStr">
        <is>
          <t>Парк экскаваторов WK-20</t>
        </is>
      </c>
      <c r="AD59" t="inlineStr">
        <is>
          <t>WK-20</t>
        </is>
      </c>
      <c r="AE59" t="inlineStr">
        <is>
          <t>Контрол.VNSO1211AKVRUGN4.8P1.1+1XPQ55</t>
        </is>
      </c>
      <c r="AF59" t="inlineStr">
        <is>
          <t>976686</t>
        </is>
      </c>
      <c r="AG59" t="inlineStr">
        <is>
          <t>VNSO1211AKVRUGN4.8P1.1+1XPQ55</t>
        </is>
      </c>
      <c r="AH59" t="inlineStr">
        <is>
          <t>06.06.2027</t>
        </is>
      </c>
      <c r="AI59" t="inlineStr">
        <is>
          <t>#</t>
        </is>
      </c>
      <c r="AJ59" t="inlineStr">
        <is>
          <t>X</t>
        </is>
      </c>
      <c r="AK59" t="inlineStr">
        <is>
          <t>Калькуляц.: 100% релеван.</t>
        </is>
      </c>
      <c r="AL59" t="inlineStr">
        <is>
          <t>02.07.2026</t>
        </is>
      </c>
      <c r="AM59" t="inlineStr">
        <is>
          <t>Зап. к экск. WK</t>
        </is>
      </c>
      <c r="AN59" t="inlineStr">
        <is>
          <t>3.1.2.7</t>
        </is>
      </c>
      <c r="AO59" t="inlineStr">
        <is>
          <t>3H2</t>
        </is>
      </c>
      <c r="AP59" t="inlineStr">
        <is>
          <t>Серавкин Д.В.</t>
        </is>
      </c>
      <c r="AQ59" t="inlineStr">
        <is>
          <t>Начиная с деблокир.</t>
        </is>
      </c>
      <c r="AR59" t="inlineStr">
        <is>
          <t>Не срочная потребнос</t>
        </is>
      </c>
      <c r="AS59" t="inlineStr">
        <is>
          <t>L</t>
        </is>
      </c>
      <c r="AT59" t="inlineStr">
        <is>
          <t>Складская позиция</t>
        </is>
      </c>
      <c r="AU59" t="inlineStr">
        <is>
          <t>АО «Развитие» Иркутс</t>
        </is>
      </c>
      <c r="AV59" t="inlineStr">
        <is>
          <t>7102/100</t>
        </is>
      </c>
      <c r="AW59" t="inlineStr">
        <is>
          <t>Механика</t>
        </is>
      </c>
      <c r="AX59" t="inlineStr">
        <is>
          <t>Taiyuan Heavy Industry</t>
        </is>
      </c>
      <c r="AY59" t="inlineStr">
        <is>
          <t>TZ</t>
        </is>
      </c>
      <c r="AZ59" t="n">
        <v>297453.56</v>
      </c>
      <c r="BA59" t="n">
        <v>297453.56</v>
      </c>
      <c r="BB59" t="n">
        <v>1</v>
      </c>
      <c r="BC59" t="n">
        <v>0</v>
      </c>
      <c r="BD59" t="n">
        <v>0</v>
      </c>
      <c r="BF59" t="n">
        <v>0</v>
      </c>
      <c r="BG59" t="n">
        <v>0</v>
      </c>
      <c r="BH59" t="n">
        <v>0</v>
      </c>
    </row>
    <row r="60">
      <c r="B60" t="inlineStr">
        <is>
          <t>ООО "Полюс Сухой Лог"</t>
        </is>
      </c>
      <c r="C60" t="inlineStr">
        <is>
          <t>Погрузка</t>
        </is>
      </c>
      <c r="D60" t="inlineStr">
        <is>
          <t>Погрузка</t>
        </is>
      </c>
      <c r="E60" t="inlineStr">
        <is>
          <t>OPEX (ремонты и ТО)</t>
        </is>
      </c>
      <c r="F60" t="inlineStr">
        <is>
          <t>Экскаватор электрический WK-20 №1220</t>
        </is>
      </c>
      <c r="G60" t="inlineStr">
        <is>
          <t>100000133802</t>
        </is>
      </c>
      <c r="H60" t="inlineStr">
        <is>
          <t>1220</t>
        </is>
      </c>
      <c r="I60" t="inlineStr">
        <is>
          <t>Экскаватор электрический WK-20 №1220</t>
        </is>
      </c>
      <c r="J60" t="inlineStr">
        <is>
          <t>06-ATC-EKSK-OOBR-EXCV-EX04</t>
        </is>
      </c>
      <c r="K60" t="inlineStr">
        <is>
          <t>01.03.2024</t>
        </is>
      </c>
      <c r="L60" t="inlineStr">
        <is>
          <t>01.03.2024</t>
        </is>
      </c>
      <c r="M60" t="inlineStr">
        <is>
          <t>30.06.2039</t>
        </is>
      </c>
      <c r="N60" t="inlineStr">
        <is>
          <t>1102690033</t>
        </is>
      </c>
      <c r="O60" t="inlineStr">
        <is>
          <t>ТР кабины WK-20 №1220</t>
        </is>
      </c>
      <c r="P60" t="inlineStr">
        <is>
          <t>#</t>
        </is>
      </c>
      <c r="Q60" t="inlineStr">
        <is>
          <t>06.06.2027</t>
        </is>
      </c>
      <c r="R60" t="inlineStr">
        <is>
          <t>07.06.2027</t>
        </is>
      </c>
      <c r="S60" t="inlineStr">
        <is>
          <t>Хоз.способ</t>
        </is>
      </c>
      <c r="T60" t="inlineStr">
        <is>
          <t>XS</t>
        </is>
      </c>
      <c r="U60" t="inlineStr">
        <is>
          <t>ОШОЗ  ДМНП  ОТКР  ПКАЛ  ОБСЗ</t>
        </is>
      </c>
      <c r="V60" t="inlineStr">
        <is>
          <t>СРОЧ  ПТОГ  СГГС  ГОД  МТРЦ</t>
        </is>
      </c>
      <c r="W60" t="inlineStr">
        <is>
          <t>Участок по ТОиР ТТ б</t>
        </is>
      </c>
      <c r="X60" t="inlineStr">
        <is>
          <t>APP1</t>
        </is>
      </c>
      <c r="Y60" t="inlineStr">
        <is>
          <t>ТОРО по ППР</t>
        </is>
      </c>
      <c r="Z60" t="inlineStr">
        <is>
          <t>Текущий ремонт</t>
        </is>
      </c>
      <c r="AA60" t="inlineStr">
        <is>
          <t>ТР</t>
        </is>
      </c>
      <c r="AB60" t="inlineStr">
        <is>
          <t>Парк экскаваторов WK-20</t>
        </is>
      </c>
      <c r="AC60" t="inlineStr">
        <is>
          <t>Парк экскаваторов WK-20</t>
        </is>
      </c>
      <c r="AD60" t="inlineStr">
        <is>
          <t>WK-20</t>
        </is>
      </c>
      <c r="AE60" t="inlineStr">
        <is>
          <t>Контрол.VNSO1211AKVRUGN4.8P1.10P+2XPQ55</t>
        </is>
      </c>
      <c r="AF60" t="inlineStr">
        <is>
          <t>976687</t>
        </is>
      </c>
      <c r="AG60" t="inlineStr">
        <is>
          <t>VNSO1211AKVRUGN4.8P1.10P+2XPQ55</t>
        </is>
      </c>
      <c r="AH60" t="inlineStr">
        <is>
          <t>06.06.2027</t>
        </is>
      </c>
      <c r="AI60" t="inlineStr">
        <is>
          <t>#</t>
        </is>
      </c>
      <c r="AJ60" t="inlineStr">
        <is>
          <t>X</t>
        </is>
      </c>
      <c r="AK60" t="inlineStr">
        <is>
          <t>Калькуляц.: 100% релеван.</t>
        </is>
      </c>
      <c r="AL60" t="inlineStr">
        <is>
          <t>02.07.2026</t>
        </is>
      </c>
      <c r="AM60" t="inlineStr">
        <is>
          <t>Зап. к экск. WK</t>
        </is>
      </c>
      <c r="AN60" t="inlineStr">
        <is>
          <t>3.1.2.7</t>
        </is>
      </c>
      <c r="AO60" t="inlineStr">
        <is>
          <t>3H2</t>
        </is>
      </c>
      <c r="AP60" t="inlineStr">
        <is>
          <t>Серавкин Д.В.</t>
        </is>
      </c>
      <c r="AQ60" t="inlineStr">
        <is>
          <t>Начиная с деблокир.</t>
        </is>
      </c>
      <c r="AR60" t="inlineStr">
        <is>
          <t>Не срочная потребнос</t>
        </is>
      </c>
      <c r="AS60" t="inlineStr">
        <is>
          <t>L</t>
        </is>
      </c>
      <c r="AT60" t="inlineStr">
        <is>
          <t>Складская позиция</t>
        </is>
      </c>
      <c r="AU60" t="inlineStr">
        <is>
          <t>АО «Развитие» Иркутс</t>
        </is>
      </c>
      <c r="AV60" t="inlineStr">
        <is>
          <t>7102/100</t>
        </is>
      </c>
      <c r="AW60" t="inlineStr">
        <is>
          <t>Механика</t>
        </is>
      </c>
      <c r="AX60" t="inlineStr">
        <is>
          <t>Taiyuan Heavy Industry</t>
        </is>
      </c>
      <c r="AY60" t="inlineStr">
        <is>
          <t>TZ</t>
        </is>
      </c>
      <c r="AZ60" t="n">
        <v>325458.56</v>
      </c>
      <c r="BA60" t="n">
        <v>325458.56</v>
      </c>
      <c r="BB60" t="n">
        <v>1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</row>
    <row r="61">
      <c r="B61" t="inlineStr">
        <is>
          <t>ООО "Полюс Сухой Лог"</t>
        </is>
      </c>
      <c r="C61" t="inlineStr">
        <is>
          <t>Погрузка</t>
        </is>
      </c>
      <c r="D61" t="inlineStr">
        <is>
          <t>Погрузка</t>
        </is>
      </c>
      <c r="E61" t="inlineStr">
        <is>
          <t>OPEX (ремонты и ТО)</t>
        </is>
      </c>
      <c r="F61" t="inlineStr">
        <is>
          <t>Экскаватор электрический WK-20 №1220</t>
        </is>
      </c>
      <c r="G61" t="inlineStr">
        <is>
          <t>100000133802</t>
        </is>
      </c>
      <c r="H61" t="inlineStr">
        <is>
          <t>1220</t>
        </is>
      </c>
      <c r="I61" t="inlineStr">
        <is>
          <t>Экскаватор электрический WK-20 №1220</t>
        </is>
      </c>
      <c r="J61" t="inlineStr">
        <is>
          <t>06-ATC-EKSK-OOBR-EXCV-EX04</t>
        </is>
      </c>
      <c r="K61" t="inlineStr">
        <is>
          <t>01.03.2024</t>
        </is>
      </c>
      <c r="L61" t="inlineStr">
        <is>
          <t>01.03.2024</t>
        </is>
      </c>
      <c r="M61" t="inlineStr">
        <is>
          <t>30.06.2039</t>
        </is>
      </c>
      <c r="N61" t="inlineStr">
        <is>
          <t>1102690033</t>
        </is>
      </c>
      <c r="O61" t="inlineStr">
        <is>
          <t>ТР кабины WK-20 №1220</t>
        </is>
      </c>
      <c r="P61" t="inlineStr">
        <is>
          <t>#</t>
        </is>
      </c>
      <c r="Q61" t="inlineStr">
        <is>
          <t>06.06.2027</t>
        </is>
      </c>
      <c r="R61" t="inlineStr">
        <is>
          <t>07.06.2027</t>
        </is>
      </c>
      <c r="S61" t="inlineStr">
        <is>
          <t>Хоз.способ</t>
        </is>
      </c>
      <c r="T61" t="inlineStr">
        <is>
          <t>XS</t>
        </is>
      </c>
      <c r="U61" t="inlineStr">
        <is>
          <t>ОШОЗ  ДМНП  ОТКР  ПКАЛ  ОБСЗ</t>
        </is>
      </c>
      <c r="V61" t="inlineStr">
        <is>
          <t>СРОЧ  ПТОГ  СГГС  ГОД  МТРЦ</t>
        </is>
      </c>
      <c r="W61" t="inlineStr">
        <is>
          <t>Участок по ТОиР ТТ б</t>
        </is>
      </c>
      <c r="X61" t="inlineStr">
        <is>
          <t>APP1</t>
        </is>
      </c>
      <c r="Y61" t="inlineStr">
        <is>
          <t>ТОРО по ППР</t>
        </is>
      </c>
      <c r="Z61" t="inlineStr">
        <is>
          <t>Текущий ремонт</t>
        </is>
      </c>
      <c r="AA61" t="inlineStr">
        <is>
          <t>ТР</t>
        </is>
      </c>
      <c r="AB61" t="inlineStr">
        <is>
          <t>Парк экскаваторов WK-20</t>
        </is>
      </c>
      <c r="AC61" t="inlineStr">
        <is>
          <t>Парк экскаваторов WK-20</t>
        </is>
      </c>
      <c r="AD61" t="inlineStr">
        <is>
          <t>WK-20</t>
        </is>
      </c>
      <c r="AE61" t="inlineStr">
        <is>
          <t>Стекло перед.ветр.K1623.21.07 TZ</t>
        </is>
      </c>
      <c r="AF61" t="inlineStr">
        <is>
          <t>956508</t>
        </is>
      </c>
      <c r="AG61" t="inlineStr">
        <is>
          <t>K1623.21.07</t>
        </is>
      </c>
      <c r="AH61" t="inlineStr">
        <is>
          <t>06.06.2027</t>
        </is>
      </c>
      <c r="AI61" t="inlineStr">
        <is>
          <t>#</t>
        </is>
      </c>
      <c r="AJ61" t="inlineStr">
        <is>
          <t>X</t>
        </is>
      </c>
      <c r="AK61" t="inlineStr">
        <is>
          <t>Калькуляц.: 100% релеван.</t>
        </is>
      </c>
      <c r="AL61" t="inlineStr">
        <is>
          <t>12.08.2026</t>
        </is>
      </c>
      <c r="AM61" t="inlineStr">
        <is>
          <t>Зап. к экск. WK</t>
        </is>
      </c>
      <c r="AN61" t="inlineStr">
        <is>
          <t>3.1.2.7</t>
        </is>
      </c>
      <c r="AO61" t="inlineStr">
        <is>
          <t>3H2</t>
        </is>
      </c>
      <c r="AP61" t="inlineStr">
        <is>
          <t>Серавкин Д.В.</t>
        </is>
      </c>
      <c r="AQ61" t="inlineStr">
        <is>
          <t>Начиная с деблокир.</t>
        </is>
      </c>
      <c r="AR61" t="inlineStr">
        <is>
          <t>Срочная потребность</t>
        </is>
      </c>
      <c r="AS61" t="inlineStr">
        <is>
          <t>L</t>
        </is>
      </c>
      <c r="AT61" t="inlineStr">
        <is>
          <t>Складская позиция</t>
        </is>
      </c>
      <c r="AU61" t="inlineStr">
        <is>
          <t>АО «Развитие» Иркутс</t>
        </is>
      </c>
      <c r="AV61" t="inlineStr">
        <is>
          <t>7102/100</t>
        </is>
      </c>
      <c r="AW61" t="inlineStr">
        <is>
          <t>Механика</t>
        </is>
      </c>
      <c r="AX61" t="inlineStr">
        <is>
          <t>Taiyuan Heavy Industry</t>
        </is>
      </c>
      <c r="AY61" t="inlineStr">
        <is>
          <t>TZ</t>
        </is>
      </c>
      <c r="AZ61" t="n">
        <v>89197.73</v>
      </c>
      <c r="BA61" t="n">
        <v>89197.73</v>
      </c>
      <c r="BB61" t="n">
        <v>1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</row>
    <row r="62">
      <c r="B62" t="inlineStr">
        <is>
          <t>ООО "Полюс Сухой Лог"</t>
        </is>
      </c>
      <c r="C62" t="inlineStr">
        <is>
          <t>Погрузка</t>
        </is>
      </c>
      <c r="D62" t="inlineStr">
        <is>
          <t>Погрузка</t>
        </is>
      </c>
      <c r="E62" t="inlineStr">
        <is>
          <t>OPEX (ремонты и ТО)</t>
        </is>
      </c>
      <c r="F62" t="inlineStr">
        <is>
          <t>Экскаватор электрический WK-20 №1220</t>
        </is>
      </c>
      <c r="G62" t="inlineStr">
        <is>
          <t>100000133802</t>
        </is>
      </c>
      <c r="H62" t="inlineStr">
        <is>
          <t>1220</t>
        </is>
      </c>
      <c r="I62" t="inlineStr">
        <is>
          <t>Экскаватор электрический WK-20 №1220</t>
        </is>
      </c>
      <c r="J62" t="inlineStr">
        <is>
          <t>06-ATC-EKSK-OOBR-EXCV-EX04</t>
        </is>
      </c>
      <c r="K62" t="inlineStr">
        <is>
          <t>01.03.2024</t>
        </is>
      </c>
      <c r="L62" t="inlineStr">
        <is>
          <t>01.03.2024</t>
        </is>
      </c>
      <c r="M62" t="inlineStr">
        <is>
          <t>30.06.2039</t>
        </is>
      </c>
      <c r="N62" t="inlineStr">
        <is>
          <t>1102690035</t>
        </is>
      </c>
      <c r="O62" t="inlineStr">
        <is>
          <t>ТР вентиляц.пыл.установка WK-20 №1220</t>
        </is>
      </c>
      <c r="P62" t="inlineStr">
        <is>
          <t>#</t>
        </is>
      </c>
      <c r="Q62" t="inlineStr">
        <is>
          <t>31.05.2027</t>
        </is>
      </c>
      <c r="R62" t="inlineStr">
        <is>
          <t>03.06.2027</t>
        </is>
      </c>
      <c r="S62" t="inlineStr">
        <is>
          <t>Хоз.способ</t>
        </is>
      </c>
      <c r="T62" t="inlineStr">
        <is>
          <t>XS</t>
        </is>
      </c>
      <c r="U62" t="inlineStr">
        <is>
          <t>ОШОЗ  ОТКР  ПКАЛ  ОБСЗ  ДМНП</t>
        </is>
      </c>
      <c r="V62" t="inlineStr">
        <is>
          <t>СРОЧ  ПТОГ  СГГС  ГОД  МТРЦ</t>
        </is>
      </c>
      <c r="W62" t="inlineStr">
        <is>
          <t>Участок по ТОиР ТТ б</t>
        </is>
      </c>
      <c r="X62" t="inlineStr">
        <is>
          <t>APP1</t>
        </is>
      </c>
      <c r="Y62" t="inlineStr">
        <is>
          <t>ТОРО по ППР</t>
        </is>
      </c>
      <c r="Z62" t="inlineStr">
        <is>
          <t>Текущий ремонт</t>
        </is>
      </c>
      <c r="AA62" t="inlineStr">
        <is>
          <t>ТР</t>
        </is>
      </c>
      <c r="AB62" t="inlineStr">
        <is>
          <t>Парк экскаваторов WK-20</t>
        </is>
      </c>
      <c r="AC62" t="inlineStr">
        <is>
          <t>Парк экскаваторов WK-20</t>
        </is>
      </c>
      <c r="AD62" t="inlineStr">
        <is>
          <t>WK-20</t>
        </is>
      </c>
      <c r="AE62" t="inlineStr">
        <is>
          <t>Клап.э/м K1623.22.02.04.00-01 TZ</t>
        </is>
      </c>
      <c r="AF62" t="inlineStr">
        <is>
          <t>975570</t>
        </is>
      </c>
      <c r="AG62" t="inlineStr">
        <is>
          <t>K1623.22.02.04.00-01</t>
        </is>
      </c>
      <c r="AH62" t="inlineStr">
        <is>
          <t>31.05.2027</t>
        </is>
      </c>
      <c r="AI62" t="inlineStr">
        <is>
          <t>#</t>
        </is>
      </c>
      <c r="AJ62" t="inlineStr">
        <is>
          <t>X</t>
        </is>
      </c>
      <c r="AK62" t="inlineStr">
        <is>
          <t>Калькуляц.: 100% релеван.</t>
        </is>
      </c>
      <c r="AL62" t="inlineStr">
        <is>
          <t>12.08.2026</t>
        </is>
      </c>
      <c r="AM62" t="inlineStr">
        <is>
          <t>Зап. к экск. WK</t>
        </is>
      </c>
      <c r="AN62" t="inlineStr">
        <is>
          <t>3.1.2.7</t>
        </is>
      </c>
      <c r="AO62" t="inlineStr">
        <is>
          <t>3H2</t>
        </is>
      </c>
      <c r="AP62" t="inlineStr">
        <is>
          <t>Серавкин Д.В.</t>
        </is>
      </c>
      <c r="AQ62" t="inlineStr">
        <is>
          <t>Начиная с деблокир.</t>
        </is>
      </c>
      <c r="AR62" t="inlineStr">
        <is>
          <t>Срочная потребность</t>
        </is>
      </c>
      <c r="AS62" t="inlineStr">
        <is>
          <t>L</t>
        </is>
      </c>
      <c r="AT62" t="inlineStr">
        <is>
          <t>Складская позиция</t>
        </is>
      </c>
      <c r="AU62" t="inlineStr">
        <is>
          <t>АО «Развитие» Иркутс</t>
        </is>
      </c>
      <c r="AV62" t="inlineStr">
        <is>
          <t>7102/100</t>
        </is>
      </c>
      <c r="AW62" t="inlineStr">
        <is>
          <t>Механика</t>
        </is>
      </c>
      <c r="AX62" t="inlineStr">
        <is>
          <t>Taiyuan Heavy Industry</t>
        </is>
      </c>
      <c r="AY62" t="inlineStr">
        <is>
          <t>TZ</t>
        </is>
      </c>
      <c r="AZ62" t="n">
        <v>93814</v>
      </c>
      <c r="BA62" t="n">
        <v>23453.5</v>
      </c>
      <c r="BB62" t="n">
        <v>4</v>
      </c>
      <c r="BC62" t="n">
        <v>0</v>
      </c>
      <c r="BD62" t="n">
        <v>0</v>
      </c>
      <c r="BF62" t="n">
        <v>0</v>
      </c>
      <c r="BG62" t="n">
        <v>0</v>
      </c>
      <c r="BH62" t="n">
        <v>0</v>
      </c>
    </row>
    <row r="63">
      <c r="B63" t="inlineStr">
        <is>
          <t>ООО "Полюс Сухой Лог"</t>
        </is>
      </c>
      <c r="C63" t="inlineStr">
        <is>
          <t>Погрузка</t>
        </is>
      </c>
      <c r="D63" t="inlineStr">
        <is>
          <t>Погрузка</t>
        </is>
      </c>
      <c r="E63" t="inlineStr">
        <is>
          <t>OPEX (ремонты и ТО)</t>
        </is>
      </c>
      <c r="F63" t="inlineStr">
        <is>
          <t>Экскаватор электрический WK-20 №1220</t>
        </is>
      </c>
      <c r="G63" t="inlineStr">
        <is>
          <t>100000133802</t>
        </is>
      </c>
      <c r="H63" t="inlineStr">
        <is>
          <t>1220</t>
        </is>
      </c>
      <c r="I63" t="inlineStr">
        <is>
          <t>Экскаватор электрический WK-20 №1220</t>
        </is>
      </c>
      <c r="J63" t="inlineStr">
        <is>
          <t>06-ATC-EKSK-OOBR-EXCV-EX04</t>
        </is>
      </c>
      <c r="K63" t="inlineStr">
        <is>
          <t>01.03.2024</t>
        </is>
      </c>
      <c r="L63" t="inlineStr">
        <is>
          <t>01.03.2024</t>
        </is>
      </c>
      <c r="M63" t="inlineStr">
        <is>
          <t>30.06.2039</t>
        </is>
      </c>
      <c r="N63" t="inlineStr">
        <is>
          <t>1102690035</t>
        </is>
      </c>
      <c r="O63" t="inlineStr">
        <is>
          <t>ТР вентиляц.пыл.установка WK-20 №1220</t>
        </is>
      </c>
      <c r="P63" t="inlineStr">
        <is>
          <t>#</t>
        </is>
      </c>
      <c r="Q63" t="inlineStr">
        <is>
          <t>31.05.2027</t>
        </is>
      </c>
      <c r="R63" t="inlineStr">
        <is>
          <t>03.06.2027</t>
        </is>
      </c>
      <c r="S63" t="inlineStr">
        <is>
          <t>Хоз.способ</t>
        </is>
      </c>
      <c r="T63" t="inlineStr">
        <is>
          <t>XS</t>
        </is>
      </c>
      <c r="U63" t="inlineStr">
        <is>
          <t>ОШОЗ  ОТКР  ПКАЛ  ОБСЗ  ДМНП</t>
        </is>
      </c>
      <c r="V63" t="inlineStr">
        <is>
          <t>СРОЧ  ПТОГ  СГГС  ГОД  МТРЦ</t>
        </is>
      </c>
      <c r="W63" t="inlineStr">
        <is>
          <t>Участок по ТОиР ТТ б</t>
        </is>
      </c>
      <c r="X63" t="inlineStr">
        <is>
          <t>APP1</t>
        </is>
      </c>
      <c r="Y63" t="inlineStr">
        <is>
          <t>ТОРО по ППР</t>
        </is>
      </c>
      <c r="Z63" t="inlineStr">
        <is>
          <t>Текущий ремонт</t>
        </is>
      </c>
      <c r="AA63" t="inlineStr">
        <is>
          <t>ТР</t>
        </is>
      </c>
      <c r="AB63" t="inlineStr">
        <is>
          <t>Парк экскаваторов WK-20</t>
        </is>
      </c>
      <c r="AC63" t="inlineStr">
        <is>
          <t>Парк экскаваторов WK-20</t>
        </is>
      </c>
      <c r="AD63" t="inlineStr">
        <is>
          <t>WK-20</t>
        </is>
      </c>
      <c r="AE63" t="inlineStr">
        <is>
          <t>Стак.фильтр.K1622.22.11 TZ</t>
        </is>
      </c>
      <c r="AF63" t="inlineStr">
        <is>
          <t>918070</t>
        </is>
      </c>
      <c r="AG63" t="inlineStr">
        <is>
          <t>K1622.22.11</t>
        </is>
      </c>
      <c r="AH63" t="inlineStr">
        <is>
          <t>31.05.2027</t>
        </is>
      </c>
      <c r="AI63" t="inlineStr">
        <is>
          <t>#</t>
        </is>
      </c>
      <c r="AJ63" t="inlineStr">
        <is>
          <t>X</t>
        </is>
      </c>
      <c r="AK63" t="inlineStr">
        <is>
          <t>Калькуляц.: 100% релеван.</t>
        </is>
      </c>
      <c r="AL63" t="inlineStr">
        <is>
          <t>12.08.2026</t>
        </is>
      </c>
      <c r="AM63" t="inlineStr">
        <is>
          <t>Зап. к экск. WK</t>
        </is>
      </c>
      <c r="AN63" t="inlineStr">
        <is>
          <t>3.1.2.7</t>
        </is>
      </c>
      <c r="AO63" t="inlineStr">
        <is>
          <t>3H2</t>
        </is>
      </c>
      <c r="AP63" t="inlineStr">
        <is>
          <t>Серавкин Д.В.</t>
        </is>
      </c>
      <c r="AQ63" t="inlineStr">
        <is>
          <t>Начиная с деблокир.</t>
        </is>
      </c>
      <c r="AR63" t="inlineStr">
        <is>
          <t>Не срочная потребнос</t>
        </is>
      </c>
      <c r="AS63" t="inlineStr">
        <is>
          <t>L</t>
        </is>
      </c>
      <c r="AT63" t="inlineStr">
        <is>
          <t>Складская позиция</t>
        </is>
      </c>
      <c r="AU63" t="inlineStr">
        <is>
          <t>АО «Развитие» Иркутс</t>
        </is>
      </c>
      <c r="AV63" t="inlineStr">
        <is>
          <t>7102/100</t>
        </is>
      </c>
      <c r="AW63" t="inlineStr">
        <is>
          <t>Механика</t>
        </is>
      </c>
      <c r="AX63" t="inlineStr">
        <is>
          <t>Taiyuan Heavy Industry</t>
        </is>
      </c>
      <c r="AY63" t="inlineStr">
        <is>
          <t>TZ</t>
        </is>
      </c>
      <c r="AZ63" t="n">
        <v>2435042.4</v>
      </c>
      <c r="BA63" t="n">
        <v>20292.02</v>
      </c>
      <c r="BB63" t="n">
        <v>120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</row>
    <row r="64">
      <c r="B64" t="inlineStr">
        <is>
          <t>ООО "Полюс Сухой Лог"</t>
        </is>
      </c>
      <c r="C64" t="inlineStr">
        <is>
          <t>Погрузка</t>
        </is>
      </c>
      <c r="D64" t="inlineStr">
        <is>
          <t>Погрузка</t>
        </is>
      </c>
      <c r="E64" t="inlineStr">
        <is>
          <t>OPEX (ремонты и ТО)</t>
        </is>
      </c>
      <c r="F64" t="inlineStr">
        <is>
          <t>Экскаватор электрический WK-20 №1220</t>
        </is>
      </c>
      <c r="G64" t="inlineStr">
        <is>
          <t>100000133802</t>
        </is>
      </c>
      <c r="H64" t="inlineStr">
        <is>
          <t>1220</t>
        </is>
      </c>
      <c r="I64" t="inlineStr">
        <is>
          <t>Экскаватор электрический WK-20 №1220</t>
        </is>
      </c>
      <c r="J64" t="inlineStr">
        <is>
          <t>06-ATC-EKSK-OOBR-EXCV-EX04</t>
        </is>
      </c>
      <c r="K64" t="inlineStr">
        <is>
          <t>01.03.2024</t>
        </is>
      </c>
      <c r="L64" t="inlineStr">
        <is>
          <t>01.03.2024</t>
        </is>
      </c>
      <c r="M64" t="inlineStr">
        <is>
          <t>30.06.2039</t>
        </is>
      </c>
      <c r="N64" t="inlineStr">
        <is>
          <t>1102690035</t>
        </is>
      </c>
      <c r="O64" t="inlineStr">
        <is>
          <t>ТР вентиляц.пыл.установка WK-20 №1220</t>
        </is>
      </c>
      <c r="P64" t="inlineStr">
        <is>
          <t>#</t>
        </is>
      </c>
      <c r="Q64" t="inlineStr">
        <is>
          <t>31.05.2027</t>
        </is>
      </c>
      <c r="R64" t="inlineStr">
        <is>
          <t>03.06.2027</t>
        </is>
      </c>
      <c r="S64" t="inlineStr">
        <is>
          <t>Хоз.способ</t>
        </is>
      </c>
      <c r="T64" t="inlineStr">
        <is>
          <t>XS</t>
        </is>
      </c>
      <c r="U64" t="inlineStr">
        <is>
          <t>ОШОЗ  ОТКР  ПКАЛ  ОБСЗ  ДМНП</t>
        </is>
      </c>
      <c r="V64" t="inlineStr">
        <is>
          <t>СРОЧ  ПТОГ  СГГС  ГОД  МТРЦ</t>
        </is>
      </c>
      <c r="W64" t="inlineStr">
        <is>
          <t>Участок по ТОиР ТТ б</t>
        </is>
      </c>
      <c r="X64" t="inlineStr">
        <is>
          <t>APP1</t>
        </is>
      </c>
      <c r="Y64" t="inlineStr">
        <is>
          <t>ТОРО по ППР</t>
        </is>
      </c>
      <c r="Z64" t="inlineStr">
        <is>
          <t>Текущий ремонт</t>
        </is>
      </c>
      <c r="AA64" t="inlineStr">
        <is>
          <t>ТР</t>
        </is>
      </c>
      <c r="AB64" t="inlineStr">
        <is>
          <t>Парк экскаваторов WK-20</t>
        </is>
      </c>
      <c r="AC64" t="inlineStr">
        <is>
          <t>Парк экскаваторов WK-20</t>
        </is>
      </c>
      <c r="AD64" t="inlineStr">
        <is>
          <t>WK-20</t>
        </is>
      </c>
      <c r="AE64" t="inlineStr">
        <is>
          <t>Фильтр кондиц. возд. HJ-140(20) TZ</t>
        </is>
      </c>
      <c r="AF64" t="inlineStr">
        <is>
          <t>1395014</t>
        </is>
      </c>
      <c r="AG64" t="inlineStr">
        <is>
          <t>HJ-140(20)</t>
        </is>
      </c>
      <c r="AH64" t="inlineStr">
        <is>
          <t>31.05.2027</t>
        </is>
      </c>
      <c r="AI64" t="inlineStr">
        <is>
          <t>#</t>
        </is>
      </c>
      <c r="AJ64" t="inlineStr">
        <is>
          <t>X</t>
        </is>
      </c>
      <c r="AK64" t="inlineStr">
        <is>
          <t>Калькуляц.: 100% релеван.</t>
        </is>
      </c>
      <c r="AL64" t="inlineStr">
        <is>
          <t>02.07.2026</t>
        </is>
      </c>
      <c r="AM64" t="inlineStr">
        <is>
          <t>Зап. к экск. WK</t>
        </is>
      </c>
      <c r="AN64" t="inlineStr">
        <is>
          <t>3.1.2.7</t>
        </is>
      </c>
      <c r="AO64" t="inlineStr">
        <is>
          <t>3H2</t>
        </is>
      </c>
      <c r="AP64" t="inlineStr">
        <is>
          <t>Серавкин Д.В.</t>
        </is>
      </c>
      <c r="AQ64" t="inlineStr">
        <is>
          <t>Начиная с деблокир.</t>
        </is>
      </c>
      <c r="AR64" t="inlineStr">
        <is>
          <t>Срочная потребность</t>
        </is>
      </c>
      <c r="AS64" t="inlineStr">
        <is>
          <t>L</t>
        </is>
      </c>
      <c r="AT64" t="inlineStr">
        <is>
          <t>Складская позиция</t>
        </is>
      </c>
      <c r="AU64" t="inlineStr">
        <is>
          <t>АО «Развитие» Иркутс</t>
        </is>
      </c>
      <c r="AV64" t="inlineStr">
        <is>
          <t>7102/100</t>
        </is>
      </c>
      <c r="AW64" t="inlineStr">
        <is>
          <t>Механика</t>
        </is>
      </c>
      <c r="AX64" t="inlineStr">
        <is>
          <t>Taiyuan Heavy Industry</t>
        </is>
      </c>
      <c r="AY64" t="inlineStr">
        <is>
          <t>TZ</t>
        </is>
      </c>
      <c r="AZ64" t="n">
        <v>301102.24</v>
      </c>
      <c r="BA64" t="n">
        <v>18818.89</v>
      </c>
      <c r="BB64" t="n">
        <v>16</v>
      </c>
      <c r="BC64" t="n">
        <v>0</v>
      </c>
      <c r="BD64" t="n">
        <v>0</v>
      </c>
      <c r="BF64" t="n">
        <v>0</v>
      </c>
      <c r="BG64" t="n">
        <v>0</v>
      </c>
      <c r="BH64" t="n">
        <v>0</v>
      </c>
    </row>
    <row r="65">
      <c r="B65" t="inlineStr">
        <is>
          <t>ООО "Полюс Сухой Лог"</t>
        </is>
      </c>
      <c r="C65" t="inlineStr">
        <is>
          <t>Погрузка</t>
        </is>
      </c>
      <c r="D65" t="inlineStr">
        <is>
          <t>Погрузка</t>
        </is>
      </c>
      <c r="E65" t="inlineStr">
        <is>
          <t>OPEX (ремонты и ТО)</t>
        </is>
      </c>
      <c r="F65" t="inlineStr">
        <is>
          <t>Экскаватор электрический WK-20 №1220</t>
        </is>
      </c>
      <c r="G65" t="inlineStr">
        <is>
          <t>100000133802</t>
        </is>
      </c>
      <c r="H65" t="inlineStr">
        <is>
          <t>1220</t>
        </is>
      </c>
      <c r="I65" t="inlineStr">
        <is>
          <t>Экскаватор электрический WK-20 №1220</t>
        </is>
      </c>
      <c r="J65" t="inlineStr">
        <is>
          <t>06-ATC-EKSK-OOBR-EXCV-EX04</t>
        </is>
      </c>
      <c r="K65" t="inlineStr">
        <is>
          <t>01.03.2024</t>
        </is>
      </c>
      <c r="L65" t="inlineStr">
        <is>
          <t>01.03.2024</t>
        </is>
      </c>
      <c r="M65" t="inlineStr">
        <is>
          <t>30.06.2039</t>
        </is>
      </c>
      <c r="N65" t="inlineStr">
        <is>
          <t>1102763037</t>
        </is>
      </c>
      <c r="O65" t="inlineStr">
        <is>
          <t>Сезонное ТО</t>
        </is>
      </c>
      <c r="P65" t="inlineStr">
        <is>
          <t>#</t>
        </is>
      </c>
      <c r="Q65" t="inlineStr">
        <is>
          <t>13.02.2027</t>
        </is>
      </c>
      <c r="R65" t="inlineStr">
        <is>
          <t>15.02.2027</t>
        </is>
      </c>
      <c r="S65" t="inlineStr">
        <is>
          <t>Хоз.способ</t>
        </is>
      </c>
      <c r="T65" t="inlineStr">
        <is>
          <t>XS</t>
        </is>
      </c>
      <c r="U65" t="inlineStr">
        <is>
          <t>ОШОЗ  ДМНП  ОТКР  ПКАЛ  ОБСЗ</t>
        </is>
      </c>
      <c r="V65" t="inlineStr">
        <is>
          <t>МТРЦ  ПЛАН  СРОЧ</t>
        </is>
      </c>
      <c r="W65" t="inlineStr">
        <is>
          <t>Участок по ТОиР ТТ б</t>
        </is>
      </c>
      <c r="X65" t="inlineStr">
        <is>
          <t>APP1</t>
        </is>
      </c>
      <c r="Y65" t="inlineStr">
        <is>
          <t>ТОРО по ППР</t>
        </is>
      </c>
      <c r="Z65" t="inlineStr">
        <is>
          <t>Сезонное ТО1</t>
        </is>
      </c>
      <c r="AA65" t="inlineStr">
        <is>
          <t>СТ1</t>
        </is>
      </c>
      <c r="AB65" t="inlineStr">
        <is>
          <t>Парк экскаваторов WK-20</t>
        </is>
      </c>
      <c r="AC65" t="inlineStr">
        <is>
          <t>Парк экскаваторов WK-20</t>
        </is>
      </c>
      <c r="AD65" t="inlineStr">
        <is>
          <t>WK-20</t>
        </is>
      </c>
      <c r="AE65" t="inlineStr">
        <is>
          <t>Масло гидравлическое Polar 32 Teboil</t>
        </is>
      </c>
      <c r="AF65" t="inlineStr">
        <is>
          <t>1269850</t>
        </is>
      </c>
      <c r="AG65" t="inlineStr">
        <is>
          <t>#</t>
        </is>
      </c>
      <c r="AH65" t="inlineStr">
        <is>
          <t>13.02.2027</t>
        </is>
      </c>
      <c r="AI65" t="inlineStr">
        <is>
          <t>#</t>
        </is>
      </c>
      <c r="AJ65" t="inlineStr">
        <is>
          <t>X</t>
        </is>
      </c>
      <c r="AK65" t="inlineStr">
        <is>
          <t>Калькуляц.: 100% релеван.</t>
        </is>
      </c>
      <c r="AL65" t="inlineStr">
        <is>
          <t>03.07.2026</t>
        </is>
      </c>
      <c r="AM65" t="inlineStr">
        <is>
          <t>Масла, смазки</t>
        </is>
      </c>
      <c r="AN65" t="inlineStr">
        <is>
          <t>2.6.9</t>
        </is>
      </c>
      <c r="AO65" t="inlineStr">
        <is>
          <t>3H8</t>
        </is>
      </c>
      <c r="AP65" t="inlineStr">
        <is>
          <t>Родионова А.В.</t>
        </is>
      </c>
      <c r="AQ65" t="inlineStr">
        <is>
          <t>Начиная с деблокир.</t>
        </is>
      </c>
      <c r="AR65" t="inlineStr">
        <is>
          <t>Не срочная потребнос</t>
        </is>
      </c>
      <c r="AS65" t="inlineStr">
        <is>
          <t>L</t>
        </is>
      </c>
      <c r="AT65" t="inlineStr">
        <is>
          <t>Складская позиция</t>
        </is>
      </c>
      <c r="AU65" t="inlineStr">
        <is>
          <t>АО «Развитие» Иркутс</t>
        </is>
      </c>
      <c r="AV65" t="inlineStr">
        <is>
          <t>7102/100</t>
        </is>
      </c>
      <c r="AW65" t="inlineStr">
        <is>
          <t>Механика</t>
        </is>
      </c>
      <c r="AX65" t="inlineStr">
        <is>
          <t>Taiyuan Heavy Industry</t>
        </is>
      </c>
      <c r="AY65" t="inlineStr">
        <is>
          <t>Teboil</t>
        </is>
      </c>
      <c r="AZ65" t="n">
        <v>18893.2</v>
      </c>
      <c r="BA65" t="n">
        <v>472.33</v>
      </c>
      <c r="BB65" t="n">
        <v>40</v>
      </c>
      <c r="BC65" t="n">
        <v>0</v>
      </c>
      <c r="BD65" t="n">
        <v>0</v>
      </c>
      <c r="BF65" t="n">
        <v>0</v>
      </c>
      <c r="BG65" t="n">
        <v>0</v>
      </c>
      <c r="BH65" t="n">
        <v>0</v>
      </c>
    </row>
    <row r="66">
      <c r="B66" t="inlineStr">
        <is>
          <t>ООО "Полюс Сухой Лог"</t>
        </is>
      </c>
      <c r="C66" t="inlineStr">
        <is>
          <t>Погрузка</t>
        </is>
      </c>
      <c r="D66" t="inlineStr">
        <is>
          <t>Погрузка</t>
        </is>
      </c>
      <c r="E66" t="inlineStr">
        <is>
          <t>OPEX (ремонты и ТО)</t>
        </is>
      </c>
      <c r="F66" t="inlineStr">
        <is>
          <t>Экскаватор электрический WK-20 №1220</t>
        </is>
      </c>
      <c r="G66" t="inlineStr">
        <is>
          <t>100000133802</t>
        </is>
      </c>
      <c r="H66" t="inlineStr">
        <is>
          <t>1220</t>
        </is>
      </c>
      <c r="I66" t="inlineStr">
        <is>
          <t>Экскаватор электрический WK-20 №1220</t>
        </is>
      </c>
      <c r="J66" t="inlineStr">
        <is>
          <t>06-ATC-EKSK-OOBR-EXCV-EX04</t>
        </is>
      </c>
      <c r="K66" t="inlineStr">
        <is>
          <t>01.03.2024</t>
        </is>
      </c>
      <c r="L66" t="inlineStr">
        <is>
          <t>01.03.2024</t>
        </is>
      </c>
      <c r="M66" t="inlineStr">
        <is>
          <t>30.06.2039</t>
        </is>
      </c>
      <c r="N66" t="inlineStr">
        <is>
          <t>1102763037</t>
        </is>
      </c>
      <c r="O66" t="inlineStr">
        <is>
          <t>Сезонное ТО</t>
        </is>
      </c>
      <c r="P66" t="inlineStr">
        <is>
          <t>#</t>
        </is>
      </c>
      <c r="Q66" t="inlineStr">
        <is>
          <t>13.02.2027</t>
        </is>
      </c>
      <c r="R66" t="inlineStr">
        <is>
          <t>15.02.2027</t>
        </is>
      </c>
      <c r="S66" t="inlineStr">
        <is>
          <t>Хоз.способ</t>
        </is>
      </c>
      <c r="T66" t="inlineStr">
        <is>
          <t>XS</t>
        </is>
      </c>
      <c r="U66" t="inlineStr">
        <is>
          <t>ОШОЗ  ДМНП  ОТКР  ПКАЛ  ОБСЗ</t>
        </is>
      </c>
      <c r="V66" t="inlineStr">
        <is>
          <t>МТРЦ  ПЛАН  СРОЧ</t>
        </is>
      </c>
      <c r="W66" t="inlineStr">
        <is>
          <t>Участок по ТОиР ТТ б</t>
        </is>
      </c>
      <c r="X66" t="inlineStr">
        <is>
          <t>APP1</t>
        </is>
      </c>
      <c r="Y66" t="inlineStr">
        <is>
          <t>ТОРО по ППР</t>
        </is>
      </c>
      <c r="Z66" t="inlineStr">
        <is>
          <t>Сезонное ТО1</t>
        </is>
      </c>
      <c r="AA66" t="inlineStr">
        <is>
          <t>СТ1</t>
        </is>
      </c>
      <c r="AB66" t="inlineStr">
        <is>
          <t>Парк экскаваторов WK-20</t>
        </is>
      </c>
      <c r="AC66" t="inlineStr">
        <is>
          <t>Парк экскаваторов WK-20</t>
        </is>
      </c>
      <c r="AD66" t="inlineStr">
        <is>
          <t>WK-20</t>
        </is>
      </c>
      <c r="AE66" t="inlineStr">
        <is>
          <t>Масло редук. Sypres Extra 220 Teboil</t>
        </is>
      </c>
      <c r="AF66" t="inlineStr">
        <is>
          <t>1335553</t>
        </is>
      </c>
      <c r="AG66" t="inlineStr">
        <is>
          <t>#</t>
        </is>
      </c>
      <c r="AH66" t="inlineStr">
        <is>
          <t>13.02.2027</t>
        </is>
      </c>
      <c r="AI66" t="inlineStr">
        <is>
          <t>#</t>
        </is>
      </c>
      <c r="AJ66" t="inlineStr">
        <is>
          <t>X</t>
        </is>
      </c>
      <c r="AK66" t="inlineStr">
        <is>
          <t>Калькуляц.: 100% релеван.</t>
        </is>
      </c>
      <c r="AL66" t="inlineStr">
        <is>
          <t>03.07.2026</t>
        </is>
      </c>
      <c r="AM66" t="inlineStr">
        <is>
          <t>Масла, смазки</t>
        </is>
      </c>
      <c r="AN66" t="inlineStr">
        <is>
          <t>2.6.9</t>
        </is>
      </c>
      <c r="AO66" t="inlineStr">
        <is>
          <t>3H8</t>
        </is>
      </c>
      <c r="AP66" t="inlineStr">
        <is>
          <t>Родионова А.В.</t>
        </is>
      </c>
      <c r="AQ66" t="inlineStr">
        <is>
          <t>Начиная с деблокир.</t>
        </is>
      </c>
      <c r="AR66" t="inlineStr">
        <is>
          <t>Не срочная потребнос</t>
        </is>
      </c>
      <c r="AS66" t="inlineStr">
        <is>
          <t>L</t>
        </is>
      </c>
      <c r="AT66" t="inlineStr">
        <is>
          <t>Складская позиция</t>
        </is>
      </c>
      <c r="AU66" t="inlineStr">
        <is>
          <t>АО «Развитие» Иркутс</t>
        </is>
      </c>
      <c r="AV66" t="inlineStr">
        <is>
          <t>7102/100</t>
        </is>
      </c>
      <c r="AW66" t="inlineStr">
        <is>
          <t>Механика</t>
        </is>
      </c>
      <c r="AX66" t="inlineStr">
        <is>
          <t>Taiyuan Heavy Industry</t>
        </is>
      </c>
      <c r="AY66" t="inlineStr">
        <is>
          <t>Teboil</t>
        </is>
      </c>
      <c r="AZ66" t="n">
        <v>2138345.12</v>
      </c>
      <c r="BA66" t="n">
        <v>1029.04</v>
      </c>
      <c r="BB66" t="n">
        <v>2078</v>
      </c>
      <c r="BC66" t="n">
        <v>0</v>
      </c>
      <c r="BD66" t="n">
        <v>0</v>
      </c>
      <c r="BF66" t="n">
        <v>0</v>
      </c>
      <c r="BG66" t="n">
        <v>0</v>
      </c>
      <c r="BH66" t="n">
        <v>0</v>
      </c>
    </row>
    <row r="67">
      <c r="B67" t="inlineStr">
        <is>
          <t>ООО "Полюс Сухой Лог"</t>
        </is>
      </c>
      <c r="C67" t="inlineStr">
        <is>
          <t>Погрузка</t>
        </is>
      </c>
      <c r="D67" t="inlineStr">
        <is>
          <t>Погрузка</t>
        </is>
      </c>
      <c r="E67" t="inlineStr">
        <is>
          <t>OPEX (ремонты и ТО)</t>
        </is>
      </c>
      <c r="F67" t="inlineStr">
        <is>
          <t>Экскаватор электрический WK-20 №1220</t>
        </is>
      </c>
      <c r="G67" t="inlineStr">
        <is>
          <t>100000133802</t>
        </is>
      </c>
      <c r="H67" t="inlineStr">
        <is>
          <t>1220</t>
        </is>
      </c>
      <c r="I67" t="inlineStr">
        <is>
          <t>Экскаватор электрический WK-20 №1220</t>
        </is>
      </c>
      <c r="J67" t="inlineStr">
        <is>
          <t>06-ATC-EKSK-OOBR-EXCV-EX04</t>
        </is>
      </c>
      <c r="K67" t="inlineStr">
        <is>
          <t>01.03.2024</t>
        </is>
      </c>
      <c r="L67" t="inlineStr">
        <is>
          <t>01.03.2024</t>
        </is>
      </c>
      <c r="M67" t="inlineStr">
        <is>
          <t>30.06.2039</t>
        </is>
      </c>
      <c r="N67" t="inlineStr">
        <is>
          <t>1102763037</t>
        </is>
      </c>
      <c r="O67" t="inlineStr">
        <is>
          <t>Сезонное ТО</t>
        </is>
      </c>
      <c r="P67" t="inlineStr">
        <is>
          <t>#</t>
        </is>
      </c>
      <c r="Q67" t="inlineStr">
        <is>
          <t>13.02.2027</t>
        </is>
      </c>
      <c r="R67" t="inlineStr">
        <is>
          <t>15.02.2027</t>
        </is>
      </c>
      <c r="S67" t="inlineStr">
        <is>
          <t>Хоз.способ</t>
        </is>
      </c>
      <c r="T67" t="inlineStr">
        <is>
          <t>XS</t>
        </is>
      </c>
      <c r="U67" t="inlineStr">
        <is>
          <t>ОШОЗ  ДМНП  ОТКР  ПКАЛ  ОБСЗ</t>
        </is>
      </c>
      <c r="V67" t="inlineStr">
        <is>
          <t>МТРЦ  ПЛАН  СРОЧ</t>
        </is>
      </c>
      <c r="W67" t="inlineStr">
        <is>
          <t>Участок по ТОиР ТТ б</t>
        </is>
      </c>
      <c r="X67" t="inlineStr">
        <is>
          <t>APP1</t>
        </is>
      </c>
      <c r="Y67" t="inlineStr">
        <is>
          <t>ТОРО по ППР</t>
        </is>
      </c>
      <c r="Z67" t="inlineStr">
        <is>
          <t>Сезонное ТО1</t>
        </is>
      </c>
      <c r="AA67" t="inlineStr">
        <is>
          <t>СТ1</t>
        </is>
      </c>
      <c r="AB67" t="inlineStr">
        <is>
          <t>Парк экскаваторов WK-20</t>
        </is>
      </c>
      <c r="AC67" t="inlineStr">
        <is>
          <t>Парк экскаваторов WK-20</t>
        </is>
      </c>
      <c r="AD67" t="inlineStr">
        <is>
          <t>WK-20</t>
        </is>
      </c>
      <c r="AE67" t="inlineStr">
        <is>
          <t>Ремень привод.8VP2120 TZ</t>
        </is>
      </c>
      <c r="AF67" t="inlineStr">
        <is>
          <t>869278</t>
        </is>
      </c>
      <c r="AG67" t="inlineStr">
        <is>
          <t>8VP2120</t>
        </is>
      </c>
      <c r="AH67" t="inlineStr">
        <is>
          <t>13.02.2027</t>
        </is>
      </c>
      <c r="AI67" t="inlineStr">
        <is>
          <t>#</t>
        </is>
      </c>
      <c r="AJ67" t="inlineStr">
        <is>
          <t>X</t>
        </is>
      </c>
      <c r="AK67" t="inlineStr">
        <is>
          <t>Калькуляц.: 100% релеван.</t>
        </is>
      </c>
      <c r="AL67" t="inlineStr">
        <is>
          <t>12.08.2026</t>
        </is>
      </c>
      <c r="AM67" t="inlineStr">
        <is>
          <t>Зап. к экск. WK</t>
        </is>
      </c>
      <c r="AN67" t="inlineStr">
        <is>
          <t>3.1.2.7</t>
        </is>
      </c>
      <c r="AO67" t="inlineStr">
        <is>
          <t>3H2</t>
        </is>
      </c>
      <c r="AP67" t="inlineStr">
        <is>
          <t>Серавкин Д.В.</t>
        </is>
      </c>
      <c r="AQ67" t="inlineStr">
        <is>
          <t>Начиная с деблокир.</t>
        </is>
      </c>
      <c r="AR67" t="inlineStr">
        <is>
          <t>Не срочная потребнос</t>
        </is>
      </c>
      <c r="AS67" t="inlineStr">
        <is>
          <t>L</t>
        </is>
      </c>
      <c r="AT67" t="inlineStr">
        <is>
          <t>Складская позиция</t>
        </is>
      </c>
      <c r="AU67" t="inlineStr">
        <is>
          <t>АО «Развитие» Иркутс</t>
        </is>
      </c>
      <c r="AV67" t="inlineStr">
        <is>
          <t>7102/100</t>
        </is>
      </c>
      <c r="AW67" t="inlineStr">
        <is>
          <t>Механика</t>
        </is>
      </c>
      <c r="AX67" t="inlineStr">
        <is>
          <t>Taiyuan Heavy Industry</t>
        </is>
      </c>
      <c r="AY67" t="inlineStr">
        <is>
          <t>TZ</t>
        </is>
      </c>
      <c r="AZ67" t="n">
        <v>265946.65</v>
      </c>
      <c r="BA67" t="n">
        <v>265946.65</v>
      </c>
      <c r="BB67" t="n">
        <v>1</v>
      </c>
      <c r="BC67" t="n">
        <v>0</v>
      </c>
      <c r="BD67" t="n">
        <v>0</v>
      </c>
      <c r="BF67" t="n">
        <v>0</v>
      </c>
      <c r="BG67" t="n">
        <v>0</v>
      </c>
      <c r="BH67" t="n">
        <v>0</v>
      </c>
    </row>
    <row r="68">
      <c r="B68" t="inlineStr">
        <is>
          <t>ООО "Полюс Сухой Лог"</t>
        </is>
      </c>
      <c r="C68" t="inlineStr">
        <is>
          <t>Погрузка</t>
        </is>
      </c>
      <c r="D68" t="inlineStr">
        <is>
          <t>Погрузка</t>
        </is>
      </c>
      <c r="E68" t="inlineStr">
        <is>
          <t>OPEX (ремонты и ТО)</t>
        </is>
      </c>
      <c r="F68" t="inlineStr">
        <is>
          <t>Экскаватор электрический WK-20 №1220</t>
        </is>
      </c>
      <c r="G68" t="inlineStr">
        <is>
          <t>100000133802</t>
        </is>
      </c>
      <c r="H68" t="inlineStr">
        <is>
          <t>1220</t>
        </is>
      </c>
      <c r="I68" t="inlineStr">
        <is>
          <t>Экскаватор электрический WK-20 №1220</t>
        </is>
      </c>
      <c r="J68" t="inlineStr">
        <is>
          <t>06-ATC-EKSK-OOBR-EXCV-EX04</t>
        </is>
      </c>
      <c r="K68" t="inlineStr">
        <is>
          <t>01.03.2024</t>
        </is>
      </c>
      <c r="L68" t="inlineStr">
        <is>
          <t>01.03.2024</t>
        </is>
      </c>
      <c r="M68" t="inlineStr">
        <is>
          <t>30.06.2039</t>
        </is>
      </c>
      <c r="N68" t="inlineStr">
        <is>
          <t>1102763037</t>
        </is>
      </c>
      <c r="O68" t="inlineStr">
        <is>
          <t>Сезонное ТО</t>
        </is>
      </c>
      <c r="P68" t="inlineStr">
        <is>
          <t>#</t>
        </is>
      </c>
      <c r="Q68" t="inlineStr">
        <is>
          <t>13.02.2027</t>
        </is>
      </c>
      <c r="R68" t="inlineStr">
        <is>
          <t>15.02.2027</t>
        </is>
      </c>
      <c r="S68" t="inlineStr">
        <is>
          <t>Хоз.способ</t>
        </is>
      </c>
      <c r="T68" t="inlineStr">
        <is>
          <t>XS</t>
        </is>
      </c>
      <c r="U68" t="inlineStr">
        <is>
          <t>ОШОЗ  ДМНП  ОТКР  ПКАЛ  ОБСЗ</t>
        </is>
      </c>
      <c r="V68" t="inlineStr">
        <is>
          <t>МТРЦ  ПЛАН  СРОЧ</t>
        </is>
      </c>
      <c r="W68" t="inlineStr">
        <is>
          <t>Участок по ТОиР ТТ б</t>
        </is>
      </c>
      <c r="X68" t="inlineStr">
        <is>
          <t>APP1</t>
        </is>
      </c>
      <c r="Y68" t="inlineStr">
        <is>
          <t>ТОРО по ППР</t>
        </is>
      </c>
      <c r="Z68" t="inlineStr">
        <is>
          <t>Сезонное ТО1</t>
        </is>
      </c>
      <c r="AA68" t="inlineStr">
        <is>
          <t>СТ1</t>
        </is>
      </c>
      <c r="AB68" t="inlineStr">
        <is>
          <t>Парк экскаваторов WK-20</t>
        </is>
      </c>
      <c r="AC68" t="inlineStr">
        <is>
          <t>Парк экскаваторов WK-20</t>
        </is>
      </c>
      <c r="AD68" t="inlineStr">
        <is>
          <t>WK-20</t>
        </is>
      </c>
      <c r="AE68" t="inlineStr">
        <is>
          <t>Стак.фильтр.K1622.22.11 TZ</t>
        </is>
      </c>
      <c r="AF68" t="inlineStr">
        <is>
          <t>918070</t>
        </is>
      </c>
      <c r="AG68" t="inlineStr">
        <is>
          <t>K1622.22.11</t>
        </is>
      </c>
      <c r="AH68" t="inlineStr">
        <is>
          <t>13.02.2027</t>
        </is>
      </c>
      <c r="AI68" t="inlineStr">
        <is>
          <t>#</t>
        </is>
      </c>
      <c r="AJ68" t="inlineStr">
        <is>
          <t>X</t>
        </is>
      </c>
      <c r="AK68" t="inlineStr">
        <is>
          <t>Калькуляц.: 100% релеван.</t>
        </is>
      </c>
      <c r="AL68" t="inlineStr">
        <is>
          <t>12.08.2026</t>
        </is>
      </c>
      <c r="AM68" t="inlineStr">
        <is>
          <t>Зап. к экск. WK</t>
        </is>
      </c>
      <c r="AN68" t="inlineStr">
        <is>
          <t>3.1.2.7</t>
        </is>
      </c>
      <c r="AO68" t="inlineStr">
        <is>
          <t>3H2</t>
        </is>
      </c>
      <c r="AP68" t="inlineStr">
        <is>
          <t>Серавкин Д.В.</t>
        </is>
      </c>
      <c r="AQ68" t="inlineStr">
        <is>
          <t>Начиная с деблокир.</t>
        </is>
      </c>
      <c r="AR68" t="inlineStr">
        <is>
          <t>Срочная потребность</t>
        </is>
      </c>
      <c r="AS68" t="inlineStr">
        <is>
          <t>L</t>
        </is>
      </c>
      <c r="AT68" t="inlineStr">
        <is>
          <t>Складская позиция</t>
        </is>
      </c>
      <c r="AU68" t="inlineStr">
        <is>
          <t>АО «Развитие» Иркутс</t>
        </is>
      </c>
      <c r="AV68" t="inlineStr">
        <is>
          <t>7102/100</t>
        </is>
      </c>
      <c r="AW68" t="inlineStr">
        <is>
          <t>Механика</t>
        </is>
      </c>
      <c r="AX68" t="inlineStr">
        <is>
          <t>Taiyuan Heavy Industry</t>
        </is>
      </c>
      <c r="AY68" t="inlineStr">
        <is>
          <t>TZ</t>
        </is>
      </c>
      <c r="AZ68" t="n">
        <v>1217521.2</v>
      </c>
      <c r="BA68" t="n">
        <v>20292.02</v>
      </c>
      <c r="BB68" t="n">
        <v>60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</row>
    <row r="69">
      <c r="B69" t="inlineStr">
        <is>
          <t>ООО "Полюс Сухой Лог"</t>
        </is>
      </c>
      <c r="C69" t="inlineStr">
        <is>
          <t>Погрузка</t>
        </is>
      </c>
      <c r="D69" t="inlineStr">
        <is>
          <t>Погрузка</t>
        </is>
      </c>
      <c r="E69" t="inlineStr">
        <is>
          <t>OPEX (ремонты и ТО)</t>
        </is>
      </c>
      <c r="F69" t="inlineStr">
        <is>
          <t>Экскаватор электрический WK-20 №1220</t>
        </is>
      </c>
      <c r="G69" t="inlineStr">
        <is>
          <t>100000133802</t>
        </is>
      </c>
      <c r="H69" t="inlineStr">
        <is>
          <t>1220</t>
        </is>
      </c>
      <c r="I69" t="inlineStr">
        <is>
          <t>Экскаватор электрический WK-20 №1220</t>
        </is>
      </c>
      <c r="J69" t="inlineStr">
        <is>
          <t>06-ATC-EKSK-OOBR-EXCV-EX04</t>
        </is>
      </c>
      <c r="K69" t="inlineStr">
        <is>
          <t>01.03.2024</t>
        </is>
      </c>
      <c r="L69" t="inlineStr">
        <is>
          <t>01.03.2024</t>
        </is>
      </c>
      <c r="M69" t="inlineStr">
        <is>
          <t>30.06.2039</t>
        </is>
      </c>
      <c r="N69" t="inlineStr">
        <is>
          <t>1102763037</t>
        </is>
      </c>
      <c r="O69" t="inlineStr">
        <is>
          <t>Сезонное ТО</t>
        </is>
      </c>
      <c r="P69" t="inlineStr">
        <is>
          <t>#</t>
        </is>
      </c>
      <c r="Q69" t="inlineStr">
        <is>
          <t>13.02.2027</t>
        </is>
      </c>
      <c r="R69" t="inlineStr">
        <is>
          <t>15.02.2027</t>
        </is>
      </c>
      <c r="S69" t="inlineStr">
        <is>
          <t>Хоз.способ</t>
        </is>
      </c>
      <c r="T69" t="inlineStr">
        <is>
          <t>XS</t>
        </is>
      </c>
      <c r="U69" t="inlineStr">
        <is>
          <t>ОШОЗ  ДМНП  ОТКР  ПКАЛ  ОБСЗ</t>
        </is>
      </c>
      <c r="V69" t="inlineStr">
        <is>
          <t>МТРЦ  ПЛАН  СРОЧ</t>
        </is>
      </c>
      <c r="W69" t="inlineStr">
        <is>
          <t>Участок по ТОиР ТТ б</t>
        </is>
      </c>
      <c r="X69" t="inlineStr">
        <is>
          <t>APP1</t>
        </is>
      </c>
      <c r="Y69" t="inlineStr">
        <is>
          <t>ТОРО по ППР</t>
        </is>
      </c>
      <c r="Z69" t="inlineStr">
        <is>
          <t>Сезонное ТО1</t>
        </is>
      </c>
      <c r="AA69" t="inlineStr">
        <is>
          <t>СТ1</t>
        </is>
      </c>
      <c r="AB69" t="inlineStr">
        <is>
          <t>Парк экскаваторов WK-20</t>
        </is>
      </c>
      <c r="AC69" t="inlineStr">
        <is>
          <t>Парк экскаваторов WK-20</t>
        </is>
      </c>
      <c r="AD69" t="inlineStr">
        <is>
          <t>WK-20</t>
        </is>
      </c>
      <c r="AE69" t="inlineStr">
        <is>
          <t>Фильтр кондиц. возд. HJ-140(20) TZ</t>
        </is>
      </c>
      <c r="AF69" t="inlineStr">
        <is>
          <t>1395014</t>
        </is>
      </c>
      <c r="AG69" t="inlineStr">
        <is>
          <t>HJ-140(20)</t>
        </is>
      </c>
      <c r="AH69" t="inlineStr">
        <is>
          <t>13.02.2027</t>
        </is>
      </c>
      <c r="AI69" t="inlineStr">
        <is>
          <t>#</t>
        </is>
      </c>
      <c r="AJ69" t="inlineStr">
        <is>
          <t>X</t>
        </is>
      </c>
      <c r="AK69" t="inlineStr">
        <is>
          <t>Калькуляц.: 100% релеван.</t>
        </is>
      </c>
      <c r="AL69" t="inlineStr">
        <is>
          <t>02.07.2026</t>
        </is>
      </c>
      <c r="AM69" t="inlineStr">
        <is>
          <t>Зап. к экск. WK</t>
        </is>
      </c>
      <c r="AN69" t="inlineStr">
        <is>
          <t>3.1.2.7</t>
        </is>
      </c>
      <c r="AO69" t="inlineStr">
        <is>
          <t>3H2</t>
        </is>
      </c>
      <c r="AP69" t="inlineStr">
        <is>
          <t>Серавкин Д.В.</t>
        </is>
      </c>
      <c r="AQ69" t="inlineStr">
        <is>
          <t>Начиная с деблокир.</t>
        </is>
      </c>
      <c r="AR69" t="inlineStr">
        <is>
          <t>Срочная потребность</t>
        </is>
      </c>
      <c r="AS69" t="inlineStr">
        <is>
          <t>L</t>
        </is>
      </c>
      <c r="AT69" t="inlineStr">
        <is>
          <t>Складская позиция</t>
        </is>
      </c>
      <c r="AU69" t="inlineStr">
        <is>
          <t>АО «Развитие» Иркутс</t>
        </is>
      </c>
      <c r="AV69" t="inlineStr">
        <is>
          <t>7102/100</t>
        </is>
      </c>
      <c r="AW69" t="inlineStr">
        <is>
          <t>Механика</t>
        </is>
      </c>
      <c r="AX69" t="inlineStr">
        <is>
          <t>Taiyuan Heavy Industry</t>
        </is>
      </c>
      <c r="AY69" t="inlineStr">
        <is>
          <t>TZ</t>
        </is>
      </c>
      <c r="AZ69" t="n">
        <v>169370.01</v>
      </c>
      <c r="BA69" t="n">
        <v>18818.89</v>
      </c>
      <c r="BB69" t="n">
        <v>9</v>
      </c>
      <c r="BC69" t="n">
        <v>0</v>
      </c>
      <c r="BD69" t="n">
        <v>0</v>
      </c>
      <c r="BF69" t="n">
        <v>0</v>
      </c>
      <c r="BG69" t="n">
        <v>0</v>
      </c>
      <c r="BH69" t="n">
        <v>0</v>
      </c>
    </row>
    <row r="70">
      <c r="B70" t="inlineStr">
        <is>
          <t>ООО "Полюс Сухой Лог"</t>
        </is>
      </c>
      <c r="C70" t="inlineStr">
        <is>
          <t>Погрузка</t>
        </is>
      </c>
      <c r="D70" t="inlineStr">
        <is>
          <t>Погрузка</t>
        </is>
      </c>
      <c r="E70" t="inlineStr">
        <is>
          <t>OPEX (ремонты и ТО)</t>
        </is>
      </c>
      <c r="F70" t="inlineStr">
        <is>
          <t>Экскаватор электрический WK-20 №1220</t>
        </is>
      </c>
      <c r="G70" t="inlineStr">
        <is>
          <t>100000133802</t>
        </is>
      </c>
      <c r="H70" t="inlineStr">
        <is>
          <t>1220</t>
        </is>
      </c>
      <c r="I70" t="inlineStr">
        <is>
          <t>Экскаватор электрический WK-20 №1220</t>
        </is>
      </c>
      <c r="J70" t="inlineStr">
        <is>
          <t>06-ATC-EKSK-OOBR-EXCV-EX04</t>
        </is>
      </c>
      <c r="K70" t="inlineStr">
        <is>
          <t>01.03.2024</t>
        </is>
      </c>
      <c r="L70" t="inlineStr">
        <is>
          <t>01.03.2024</t>
        </is>
      </c>
      <c r="M70" t="inlineStr">
        <is>
          <t>30.06.2039</t>
        </is>
      </c>
      <c r="N70" t="inlineStr">
        <is>
          <t>1102763037</t>
        </is>
      </c>
      <c r="O70" t="inlineStr">
        <is>
          <t>Сезонное ТО</t>
        </is>
      </c>
      <c r="P70" t="inlineStr">
        <is>
          <t>#</t>
        </is>
      </c>
      <c r="Q70" t="inlineStr">
        <is>
          <t>13.02.2027</t>
        </is>
      </c>
      <c r="R70" t="inlineStr">
        <is>
          <t>15.02.2027</t>
        </is>
      </c>
      <c r="S70" t="inlineStr">
        <is>
          <t>Хоз.способ</t>
        </is>
      </c>
      <c r="T70" t="inlineStr">
        <is>
          <t>XS</t>
        </is>
      </c>
      <c r="U70" t="inlineStr">
        <is>
          <t>ОШОЗ  ДМНП  ОТКР  ПКАЛ  ОБСЗ</t>
        </is>
      </c>
      <c r="V70" t="inlineStr">
        <is>
          <t>МТРЦ  ПЛАН  СРОЧ</t>
        </is>
      </c>
      <c r="W70" t="inlineStr">
        <is>
          <t>Участок по ТОиР ТТ б</t>
        </is>
      </c>
      <c r="X70" t="inlineStr">
        <is>
          <t>APP1</t>
        </is>
      </c>
      <c r="Y70" t="inlineStr">
        <is>
          <t>ТОРО по ППР</t>
        </is>
      </c>
      <c r="Z70" t="inlineStr">
        <is>
          <t>Сезонное ТО1</t>
        </is>
      </c>
      <c r="AA70" t="inlineStr">
        <is>
          <t>СТ1</t>
        </is>
      </c>
      <c r="AB70" t="inlineStr">
        <is>
          <t>Парк экскаваторов WK-20</t>
        </is>
      </c>
      <c r="AC70" t="inlineStr">
        <is>
          <t>Парк экскаваторов WK-20</t>
        </is>
      </c>
      <c r="AD70" t="inlineStr">
        <is>
          <t>WK-20</t>
        </is>
      </c>
      <c r="AE70" t="inlineStr">
        <is>
          <t>Фильтр осушит. 2901200304 TZ</t>
        </is>
      </c>
      <c r="AF70" t="inlineStr">
        <is>
          <t>917576</t>
        </is>
      </c>
      <c r="AG70" t="inlineStr">
        <is>
          <t>2901200304</t>
        </is>
      </c>
      <c r="AH70" t="inlineStr">
        <is>
          <t>13.02.2027</t>
        </is>
      </c>
      <c r="AI70" t="inlineStr">
        <is>
          <t>#</t>
        </is>
      </c>
      <c r="AJ70" t="inlineStr">
        <is>
          <t>X</t>
        </is>
      </c>
      <c r="AK70" t="inlineStr">
        <is>
          <t>Калькуляц.: 100% релеван.</t>
        </is>
      </c>
      <c r="AL70" t="inlineStr">
        <is>
          <t>12.08.2026</t>
        </is>
      </c>
      <c r="AM70" t="inlineStr">
        <is>
          <t>Зап. к экск. WK</t>
        </is>
      </c>
      <c r="AN70" t="inlineStr">
        <is>
          <t>3.1.2.7</t>
        </is>
      </c>
      <c r="AO70" t="inlineStr">
        <is>
          <t>3H2</t>
        </is>
      </c>
      <c r="AP70" t="inlineStr">
        <is>
          <t>Серавкин Д.В.</t>
        </is>
      </c>
      <c r="AQ70" t="inlineStr">
        <is>
          <t>Начиная с деблокир.</t>
        </is>
      </c>
      <c r="AR70" t="inlineStr">
        <is>
          <t>Срочная потребность</t>
        </is>
      </c>
      <c r="AS70" t="inlineStr">
        <is>
          <t>L</t>
        </is>
      </c>
      <c r="AT70" t="inlineStr">
        <is>
          <t>Складская позиция</t>
        </is>
      </c>
      <c r="AU70" t="inlineStr">
        <is>
          <t>АО «Развитие» Иркутс</t>
        </is>
      </c>
      <c r="AV70" t="inlineStr">
        <is>
          <t>7102/100</t>
        </is>
      </c>
      <c r="AW70" t="inlineStr">
        <is>
          <t>Механика</t>
        </is>
      </c>
      <c r="AX70" t="inlineStr">
        <is>
          <t>Taiyuan Heavy Industry</t>
        </is>
      </c>
      <c r="AY70" t="inlineStr">
        <is>
          <t>TZ</t>
        </is>
      </c>
      <c r="AZ70" t="n">
        <v>31864.53</v>
      </c>
      <c r="BA70" t="n">
        <v>31864.53</v>
      </c>
      <c r="BB70" t="n">
        <v>1</v>
      </c>
      <c r="BC70" t="n">
        <v>0</v>
      </c>
      <c r="BD70" t="n">
        <v>0</v>
      </c>
      <c r="BF70" t="n">
        <v>0</v>
      </c>
      <c r="BG70" t="n">
        <v>0</v>
      </c>
      <c r="BH70" t="n">
        <v>0</v>
      </c>
    </row>
    <row r="71">
      <c r="B71" t="inlineStr">
        <is>
          <t>ООО "Полюс Сухой Лог"</t>
        </is>
      </c>
      <c r="C71" t="inlineStr">
        <is>
          <t>Погрузка</t>
        </is>
      </c>
      <c r="D71" t="inlineStr">
        <is>
          <t>Погрузка</t>
        </is>
      </c>
      <c r="E71" t="inlineStr">
        <is>
          <t>OPEX (ремонты и ТО)</t>
        </is>
      </c>
      <c r="F71" t="inlineStr">
        <is>
          <t>Экскаватор электрический WK-20 №1220</t>
        </is>
      </c>
      <c r="G71" t="inlineStr">
        <is>
          <t>100000133802</t>
        </is>
      </c>
      <c r="H71" t="inlineStr">
        <is>
          <t>1220</t>
        </is>
      </c>
      <c r="I71" t="inlineStr">
        <is>
          <t>Экскаватор электрический WK-20 №1220</t>
        </is>
      </c>
      <c r="J71" t="inlineStr">
        <is>
          <t>06-ATC-EKSK-OOBR-EXCV-EX04</t>
        </is>
      </c>
      <c r="K71" t="inlineStr">
        <is>
          <t>01.03.2024</t>
        </is>
      </c>
      <c r="L71" t="inlineStr">
        <is>
          <t>01.03.2024</t>
        </is>
      </c>
      <c r="M71" t="inlineStr">
        <is>
          <t>30.06.2039</t>
        </is>
      </c>
      <c r="N71" t="inlineStr">
        <is>
          <t>1102763037</t>
        </is>
      </c>
      <c r="O71" t="inlineStr">
        <is>
          <t>Сезонное ТО</t>
        </is>
      </c>
      <c r="P71" t="inlineStr">
        <is>
          <t>#</t>
        </is>
      </c>
      <c r="Q71" t="inlineStr">
        <is>
          <t>13.02.2027</t>
        </is>
      </c>
      <c r="R71" t="inlineStr">
        <is>
          <t>15.02.2027</t>
        </is>
      </c>
      <c r="S71" t="inlineStr">
        <is>
          <t>Хоз.способ</t>
        </is>
      </c>
      <c r="T71" t="inlineStr">
        <is>
          <t>XS</t>
        </is>
      </c>
      <c r="U71" t="inlineStr">
        <is>
          <t>ОШОЗ  ДМНП  ОТКР  ПКАЛ  ОБСЗ</t>
        </is>
      </c>
      <c r="V71" t="inlineStr">
        <is>
          <t>МТРЦ  ПЛАН  СРОЧ</t>
        </is>
      </c>
      <c r="W71" t="inlineStr">
        <is>
          <t>Участок по ТОиР ТТ б</t>
        </is>
      </c>
      <c r="X71" t="inlineStr">
        <is>
          <t>APP1</t>
        </is>
      </c>
      <c r="Y71" t="inlineStr">
        <is>
          <t>ТОРО по ППР</t>
        </is>
      </c>
      <c r="Z71" t="inlineStr">
        <is>
          <t>Сезонное ТО1</t>
        </is>
      </c>
      <c r="AA71" t="inlineStr">
        <is>
          <t>СТ1</t>
        </is>
      </c>
      <c r="AB71" t="inlineStr">
        <is>
          <t>Парк экскаваторов WK-20</t>
        </is>
      </c>
      <c r="AC71" t="inlineStr">
        <is>
          <t>Парк экскаваторов WK-20</t>
        </is>
      </c>
      <c r="AD71" t="inlineStr">
        <is>
          <t>WK-20</t>
        </is>
      </c>
      <c r="AE71" t="inlineStr">
        <is>
          <t>Фильтр осушит. 2901200404 TZ</t>
        </is>
      </c>
      <c r="AF71" t="inlineStr">
        <is>
          <t>917577</t>
        </is>
      </c>
      <c r="AG71" t="inlineStr">
        <is>
          <t>2901200404</t>
        </is>
      </c>
      <c r="AH71" t="inlineStr">
        <is>
          <t>13.02.2027</t>
        </is>
      </c>
      <c r="AI71" t="inlineStr">
        <is>
          <t>#</t>
        </is>
      </c>
      <c r="AJ71" t="inlineStr">
        <is>
          <t>X</t>
        </is>
      </c>
      <c r="AK71" t="inlineStr">
        <is>
          <t>Калькуляц.: 100% релеван.</t>
        </is>
      </c>
      <c r="AL71" t="inlineStr">
        <is>
          <t>12.08.2026</t>
        </is>
      </c>
      <c r="AM71" t="inlineStr">
        <is>
          <t>Зап. к экск. WK</t>
        </is>
      </c>
      <c r="AN71" t="inlineStr">
        <is>
          <t>3.1.2.7</t>
        </is>
      </c>
      <c r="AO71" t="inlineStr">
        <is>
          <t>3H2</t>
        </is>
      </c>
      <c r="AP71" t="inlineStr">
        <is>
          <t>Серавкин Д.В.</t>
        </is>
      </c>
      <c r="AQ71" t="inlineStr">
        <is>
          <t>Начиная с деблокир.</t>
        </is>
      </c>
      <c r="AR71" t="inlineStr">
        <is>
          <t>Срочная потребность</t>
        </is>
      </c>
      <c r="AS71" t="inlineStr">
        <is>
          <t>L</t>
        </is>
      </c>
      <c r="AT71" t="inlineStr">
        <is>
          <t>Складская позиция</t>
        </is>
      </c>
      <c r="AU71" t="inlineStr">
        <is>
          <t>АО «Развитие» Иркутс</t>
        </is>
      </c>
      <c r="AV71" t="inlineStr">
        <is>
          <t>7102/100</t>
        </is>
      </c>
      <c r="AW71" t="inlineStr">
        <is>
          <t>Механика</t>
        </is>
      </c>
      <c r="AX71" t="inlineStr">
        <is>
          <t>Taiyuan Heavy Industry</t>
        </is>
      </c>
      <c r="AY71" t="inlineStr">
        <is>
          <t>TZ</t>
        </is>
      </c>
      <c r="AZ71" t="n">
        <v>31864.53</v>
      </c>
      <c r="BA71" t="n">
        <v>31864.53</v>
      </c>
      <c r="BB71" t="n">
        <v>1</v>
      </c>
      <c r="BC71" t="n">
        <v>0</v>
      </c>
      <c r="BD71" t="n">
        <v>0</v>
      </c>
      <c r="BF71" t="n">
        <v>0</v>
      </c>
      <c r="BG71" t="n">
        <v>0</v>
      </c>
      <c r="BH71" t="n">
        <v>0</v>
      </c>
    </row>
    <row r="72">
      <c r="B72" t="inlineStr">
        <is>
          <t>ООО "Полюс Сухой Лог"</t>
        </is>
      </c>
      <c r="C72" t="inlineStr">
        <is>
          <t>Погрузка</t>
        </is>
      </c>
      <c r="D72" t="inlineStr">
        <is>
          <t>Погрузка</t>
        </is>
      </c>
      <c r="E72" t="inlineStr">
        <is>
          <t>OPEX (ремонты и ТО)</t>
        </is>
      </c>
      <c r="F72" t="inlineStr">
        <is>
          <t>Экскаватор электрический WK-20 №1220</t>
        </is>
      </c>
      <c r="G72" t="inlineStr">
        <is>
          <t>100000133802</t>
        </is>
      </c>
      <c r="H72" t="inlineStr">
        <is>
          <t>1220</t>
        </is>
      </c>
      <c r="I72" t="inlineStr">
        <is>
          <t>Экскаватор электрический WK-20 №1220</t>
        </is>
      </c>
      <c r="J72" t="inlineStr">
        <is>
          <t>06-ATC-EKSK-OOBR-EXCV-EX04</t>
        </is>
      </c>
      <c r="K72" t="inlineStr">
        <is>
          <t>01.03.2024</t>
        </is>
      </c>
      <c r="L72" t="inlineStr">
        <is>
          <t>01.03.2024</t>
        </is>
      </c>
      <c r="M72" t="inlineStr">
        <is>
          <t>30.06.2039</t>
        </is>
      </c>
      <c r="N72" t="inlineStr">
        <is>
          <t>1102763038</t>
        </is>
      </c>
      <c r="O72" t="inlineStr">
        <is>
          <t>Сезонное ТО</t>
        </is>
      </c>
      <c r="P72" t="inlineStr">
        <is>
          <t>#</t>
        </is>
      </c>
      <c r="Q72" t="inlineStr">
        <is>
          <t>09.09.2027</t>
        </is>
      </c>
      <c r="R72" t="inlineStr">
        <is>
          <t>11.09.2027</t>
        </is>
      </c>
      <c r="S72" t="inlineStr">
        <is>
          <t>Хоз.способ</t>
        </is>
      </c>
      <c r="T72" t="inlineStr">
        <is>
          <t>XS</t>
        </is>
      </c>
      <c r="U72" t="inlineStr">
        <is>
          <t>ПКАЛ  ОБСЗ  ОШОЗ  ДМНП  ОТКР</t>
        </is>
      </c>
      <c r="V72" t="inlineStr">
        <is>
          <t>МТРЦ  ПЛАН</t>
        </is>
      </c>
      <c r="W72" t="inlineStr">
        <is>
          <t>Участок по ТОиР ТТ б</t>
        </is>
      </c>
      <c r="X72" t="inlineStr">
        <is>
          <t>APP1</t>
        </is>
      </c>
      <c r="Y72" t="inlineStr">
        <is>
          <t>ТОРО по ППР</t>
        </is>
      </c>
      <c r="Z72" t="inlineStr">
        <is>
          <t>Сезонное ТО1</t>
        </is>
      </c>
      <c r="AA72" t="inlineStr">
        <is>
          <t>СТ1</t>
        </is>
      </c>
      <c r="AB72" t="inlineStr">
        <is>
          <t>Парк экскаваторов WK-20</t>
        </is>
      </c>
      <c r="AC72" t="inlineStr">
        <is>
          <t>Парк экскаваторов WK-20</t>
        </is>
      </c>
      <c r="AD72" t="inlineStr">
        <is>
          <t>WK-20</t>
        </is>
      </c>
      <c r="AE72" t="inlineStr">
        <is>
          <t>Масло редук. Sypres Extra 220 Teboil</t>
        </is>
      </c>
      <c r="AF72" t="inlineStr">
        <is>
          <t>1335553</t>
        </is>
      </c>
      <c r="AG72" t="inlineStr">
        <is>
          <t>#</t>
        </is>
      </c>
      <c r="AH72" t="inlineStr">
        <is>
          <t>09.09.2027</t>
        </is>
      </c>
      <c r="AI72" t="inlineStr">
        <is>
          <t>#</t>
        </is>
      </c>
      <c r="AJ72" t="inlineStr">
        <is>
          <t>X</t>
        </is>
      </c>
      <c r="AK72" t="inlineStr">
        <is>
          <t>Калькуляц.: 100% релеван.</t>
        </is>
      </c>
      <c r="AL72" t="inlineStr">
        <is>
          <t>03.07.2026</t>
        </is>
      </c>
      <c r="AM72" t="inlineStr">
        <is>
          <t>Масла, смазки</t>
        </is>
      </c>
      <c r="AN72" t="inlineStr">
        <is>
          <t>2.6.9</t>
        </is>
      </c>
      <c r="AO72" t="inlineStr">
        <is>
          <t>3H8</t>
        </is>
      </c>
      <c r="AP72" t="inlineStr">
        <is>
          <t>Родионова А.В.</t>
        </is>
      </c>
      <c r="AQ72" t="inlineStr">
        <is>
          <t>Начиная с деблокир.</t>
        </is>
      </c>
      <c r="AR72" t="inlineStr">
        <is>
          <t>Не срочная потребнос</t>
        </is>
      </c>
      <c r="AS72" t="inlineStr">
        <is>
          <t>L</t>
        </is>
      </c>
      <c r="AT72" t="inlineStr">
        <is>
          <t>Складская позиция</t>
        </is>
      </c>
      <c r="AU72" t="inlineStr">
        <is>
          <t>АО «Развитие» Иркутс</t>
        </is>
      </c>
      <c r="AV72" t="inlineStr">
        <is>
          <t>7102/100</t>
        </is>
      </c>
      <c r="AW72" t="inlineStr">
        <is>
          <t>Механика</t>
        </is>
      </c>
      <c r="AX72" t="inlineStr">
        <is>
          <t>Taiyuan Heavy Industry</t>
        </is>
      </c>
      <c r="AY72" t="inlineStr">
        <is>
          <t>Teboil</t>
        </is>
      </c>
      <c r="AZ72" t="n">
        <v>2138345.12</v>
      </c>
      <c r="BA72" t="n">
        <v>1029.04</v>
      </c>
      <c r="BB72" t="n">
        <v>2078</v>
      </c>
      <c r="BC72" t="n">
        <v>0</v>
      </c>
      <c r="BD72" t="n">
        <v>0</v>
      </c>
      <c r="BF72" t="n">
        <v>0</v>
      </c>
      <c r="BG72" t="n">
        <v>0</v>
      </c>
      <c r="BH72" t="n">
        <v>0</v>
      </c>
    </row>
    <row r="73">
      <c r="B73" t="inlineStr">
        <is>
          <t>ООО "Полюс Сухой Лог"</t>
        </is>
      </c>
      <c r="C73" t="inlineStr">
        <is>
          <t>Погрузка</t>
        </is>
      </c>
      <c r="D73" t="inlineStr">
        <is>
          <t>Погрузка</t>
        </is>
      </c>
      <c r="E73" t="inlineStr">
        <is>
          <t>OPEX (ремонты и ТО)</t>
        </is>
      </c>
      <c r="F73" t="inlineStr">
        <is>
          <t>Экскаватор электрический WK-20 №1220</t>
        </is>
      </c>
      <c r="G73" t="inlineStr">
        <is>
          <t>100000133802</t>
        </is>
      </c>
      <c r="H73" t="inlineStr">
        <is>
          <t>1220</t>
        </is>
      </c>
      <c r="I73" t="inlineStr">
        <is>
          <t>Экскаватор электрический WK-20 №1220</t>
        </is>
      </c>
      <c r="J73" t="inlineStr">
        <is>
          <t>06-ATC-EKSK-OOBR-EXCV-EX04</t>
        </is>
      </c>
      <c r="K73" t="inlineStr">
        <is>
          <t>01.03.2024</t>
        </is>
      </c>
      <c r="L73" t="inlineStr">
        <is>
          <t>01.03.2024</t>
        </is>
      </c>
      <c r="M73" t="inlineStr">
        <is>
          <t>30.06.2039</t>
        </is>
      </c>
      <c r="N73" t="inlineStr">
        <is>
          <t>1102763038</t>
        </is>
      </c>
      <c r="O73" t="inlineStr">
        <is>
          <t>Сезонное ТО</t>
        </is>
      </c>
      <c r="P73" t="inlineStr">
        <is>
          <t>#</t>
        </is>
      </c>
      <c r="Q73" t="inlineStr">
        <is>
          <t>09.09.2027</t>
        </is>
      </c>
      <c r="R73" t="inlineStr">
        <is>
          <t>11.09.2027</t>
        </is>
      </c>
      <c r="S73" t="inlineStr">
        <is>
          <t>Хоз.способ</t>
        </is>
      </c>
      <c r="T73" t="inlineStr">
        <is>
          <t>XS</t>
        </is>
      </c>
      <c r="U73" t="inlineStr">
        <is>
          <t>ПКАЛ  ОБСЗ  ОШОЗ  ДМНП  ОТКР</t>
        </is>
      </c>
      <c r="V73" t="inlineStr">
        <is>
          <t>МТРЦ  ПЛАН</t>
        </is>
      </c>
      <c r="W73" t="inlineStr">
        <is>
          <t>Участок по ТОиР ТТ б</t>
        </is>
      </c>
      <c r="X73" t="inlineStr">
        <is>
          <t>APP1</t>
        </is>
      </c>
      <c r="Y73" t="inlineStr">
        <is>
          <t>ТОРО по ППР</t>
        </is>
      </c>
      <c r="Z73" t="inlineStr">
        <is>
          <t>Сезонное ТО1</t>
        </is>
      </c>
      <c r="AA73" t="inlineStr">
        <is>
          <t>СТ1</t>
        </is>
      </c>
      <c r="AB73" t="inlineStr">
        <is>
          <t>Парк экскаваторов WK-20</t>
        </is>
      </c>
      <c r="AC73" t="inlineStr">
        <is>
          <t>Парк экскаваторов WK-20</t>
        </is>
      </c>
      <c r="AD73" t="inlineStr">
        <is>
          <t>WK-20</t>
        </is>
      </c>
      <c r="AE73" t="inlineStr">
        <is>
          <t>Масло Hydraulic HVLP-32 Gazpromneft</t>
        </is>
      </c>
      <c r="AF73" t="inlineStr">
        <is>
          <t>1102956</t>
        </is>
      </c>
      <c r="AG73" t="inlineStr">
        <is>
          <t>#</t>
        </is>
      </c>
      <c r="AH73" t="inlineStr">
        <is>
          <t>09.09.2027</t>
        </is>
      </c>
      <c r="AI73" t="inlineStr">
        <is>
          <t>#</t>
        </is>
      </c>
      <c r="AJ73" t="inlineStr">
        <is>
          <t>X</t>
        </is>
      </c>
      <c r="AK73" t="inlineStr">
        <is>
          <t>Калькуляц.: 100% релеван.</t>
        </is>
      </c>
      <c r="AL73" t="inlineStr">
        <is>
          <t>03.07.2026</t>
        </is>
      </c>
      <c r="AM73" t="inlineStr">
        <is>
          <t>Масла, смазки</t>
        </is>
      </c>
      <c r="AN73" t="inlineStr">
        <is>
          <t>2.6.9</t>
        </is>
      </c>
      <c r="AO73" t="inlineStr">
        <is>
          <t>3H8</t>
        </is>
      </c>
      <c r="AP73" t="inlineStr">
        <is>
          <t>Родионова А.В.</t>
        </is>
      </c>
      <c r="AQ73" t="inlineStr">
        <is>
          <t>Начиная с деблокир.</t>
        </is>
      </c>
      <c r="AR73" t="inlineStr">
        <is>
          <t>Не срочная потребнос</t>
        </is>
      </c>
      <c r="AS73" t="inlineStr">
        <is>
          <t>L</t>
        </is>
      </c>
      <c r="AT73" t="inlineStr">
        <is>
          <t>Складская позиция</t>
        </is>
      </c>
      <c r="AU73" t="inlineStr">
        <is>
          <t>АО «Развитие» Иркутс</t>
        </is>
      </c>
      <c r="AV73" t="inlineStr">
        <is>
          <t>7102/100</t>
        </is>
      </c>
      <c r="AW73" t="inlineStr">
        <is>
          <t>Механика</t>
        </is>
      </c>
      <c r="AX73" t="inlineStr">
        <is>
          <t>Taiyuan Heavy Industry</t>
        </is>
      </c>
      <c r="AY73" t="inlineStr">
        <is>
          <t>Gazpromneft</t>
        </is>
      </c>
      <c r="AZ73" t="n">
        <v>7455.2</v>
      </c>
      <c r="BA73" t="n">
        <v>186.38</v>
      </c>
      <c r="BB73" t="n">
        <v>40</v>
      </c>
      <c r="BC73" t="n">
        <v>0</v>
      </c>
      <c r="BD73" t="n">
        <v>0</v>
      </c>
      <c r="BF73" t="n">
        <v>0</v>
      </c>
      <c r="BG73" t="n">
        <v>0</v>
      </c>
      <c r="BH73" t="n">
        <v>0</v>
      </c>
    </row>
    <row r="74">
      <c r="B74" t="inlineStr">
        <is>
          <t>ООО "Полюс Сухой Лог"</t>
        </is>
      </c>
      <c r="C74" t="inlineStr">
        <is>
          <t>Погрузка</t>
        </is>
      </c>
      <c r="D74" t="inlineStr">
        <is>
          <t>Погрузка</t>
        </is>
      </c>
      <c r="E74" t="inlineStr">
        <is>
          <t>OPEX (ремонты и ТО)</t>
        </is>
      </c>
      <c r="F74" t="inlineStr">
        <is>
          <t>Экскаватор электрический WK-20 №1220</t>
        </is>
      </c>
      <c r="G74" t="inlineStr">
        <is>
          <t>100000133802</t>
        </is>
      </c>
      <c r="H74" t="inlineStr">
        <is>
          <t>1220</t>
        </is>
      </c>
      <c r="I74" t="inlineStr">
        <is>
          <t>Экскаватор электрический WK-20 №1220</t>
        </is>
      </c>
      <c r="J74" t="inlineStr">
        <is>
          <t>06-ATC-EKSK-OOBR-EXCV-EX04</t>
        </is>
      </c>
      <c r="K74" t="inlineStr">
        <is>
          <t>01.03.2024</t>
        </is>
      </c>
      <c r="L74" t="inlineStr">
        <is>
          <t>01.03.2024</t>
        </is>
      </c>
      <c r="M74" t="inlineStr">
        <is>
          <t>30.06.2039</t>
        </is>
      </c>
      <c r="N74" t="inlineStr">
        <is>
          <t>1102763038</t>
        </is>
      </c>
      <c r="O74" t="inlineStr">
        <is>
          <t>Сезонное ТО</t>
        </is>
      </c>
      <c r="P74" t="inlineStr">
        <is>
          <t>#</t>
        </is>
      </c>
      <c r="Q74" t="inlineStr">
        <is>
          <t>09.09.2027</t>
        </is>
      </c>
      <c r="R74" t="inlineStr">
        <is>
          <t>11.09.2027</t>
        </is>
      </c>
      <c r="S74" t="inlineStr">
        <is>
          <t>Хоз.способ</t>
        </is>
      </c>
      <c r="T74" t="inlineStr">
        <is>
          <t>XS</t>
        </is>
      </c>
      <c r="U74" t="inlineStr">
        <is>
          <t>ПКАЛ  ОБСЗ  ОШОЗ  ДМНП  ОТКР</t>
        </is>
      </c>
      <c r="V74" t="inlineStr">
        <is>
          <t>МТРЦ  ПЛАН</t>
        </is>
      </c>
      <c r="W74" t="inlineStr">
        <is>
          <t>Участок по ТОиР ТТ б</t>
        </is>
      </c>
      <c r="X74" t="inlineStr">
        <is>
          <t>APP1</t>
        </is>
      </c>
      <c r="Y74" t="inlineStr">
        <is>
          <t>ТОРО по ППР</t>
        </is>
      </c>
      <c r="Z74" t="inlineStr">
        <is>
          <t>Сезонное ТО1</t>
        </is>
      </c>
      <c r="AA74" t="inlineStr">
        <is>
          <t>СТ1</t>
        </is>
      </c>
      <c r="AB74" t="inlineStr">
        <is>
          <t>Парк экскаваторов WK-20</t>
        </is>
      </c>
      <c r="AC74" t="inlineStr">
        <is>
          <t>Парк экскаваторов WK-20</t>
        </is>
      </c>
      <c r="AD74" t="inlineStr">
        <is>
          <t>WK-20</t>
        </is>
      </c>
      <c r="AE74" t="inlineStr">
        <is>
          <t>Ремень привод.8VP2120 TZ</t>
        </is>
      </c>
      <c r="AF74" t="inlineStr">
        <is>
          <t>869278</t>
        </is>
      </c>
      <c r="AG74" t="inlineStr">
        <is>
          <t>8VP2120</t>
        </is>
      </c>
      <c r="AH74" t="inlineStr">
        <is>
          <t>09.09.2027</t>
        </is>
      </c>
      <c r="AI74" t="inlineStr">
        <is>
          <t>#</t>
        </is>
      </c>
      <c r="AJ74" t="inlineStr">
        <is>
          <t>X</t>
        </is>
      </c>
      <c r="AK74" t="inlineStr">
        <is>
          <t>Калькуляц.: 100% релеван.</t>
        </is>
      </c>
      <c r="AL74" t="inlineStr">
        <is>
          <t>12.08.2026</t>
        </is>
      </c>
      <c r="AM74" t="inlineStr">
        <is>
          <t>Зап. к экск. WK</t>
        </is>
      </c>
      <c r="AN74" t="inlineStr">
        <is>
          <t>3.1.2.7</t>
        </is>
      </c>
      <c r="AO74" t="inlineStr">
        <is>
          <t>3H2</t>
        </is>
      </c>
      <c r="AP74" t="inlineStr">
        <is>
          <t>Серавкин Д.В.</t>
        </is>
      </c>
      <c r="AQ74" t="inlineStr">
        <is>
          <t>Начиная с деблокир.</t>
        </is>
      </c>
      <c r="AR74" t="inlineStr">
        <is>
          <t>Не срочная потребнос</t>
        </is>
      </c>
      <c r="AS74" t="inlineStr">
        <is>
          <t>L</t>
        </is>
      </c>
      <c r="AT74" t="inlineStr">
        <is>
          <t>Складская позиция</t>
        </is>
      </c>
      <c r="AU74" t="inlineStr">
        <is>
          <t>АО «Развитие» Иркутс</t>
        </is>
      </c>
      <c r="AV74" t="inlineStr">
        <is>
          <t>7102/100</t>
        </is>
      </c>
      <c r="AW74" t="inlineStr">
        <is>
          <t>Механика</t>
        </is>
      </c>
      <c r="AX74" t="inlineStr">
        <is>
          <t>Taiyuan Heavy Industry</t>
        </is>
      </c>
      <c r="AY74" t="inlineStr">
        <is>
          <t>TZ</t>
        </is>
      </c>
      <c r="AZ74" t="n">
        <v>265946.65</v>
      </c>
      <c r="BA74" t="n">
        <v>265946.65</v>
      </c>
      <c r="BB74" t="n">
        <v>1</v>
      </c>
      <c r="BC74" t="n">
        <v>0</v>
      </c>
      <c r="BD74" t="n">
        <v>0</v>
      </c>
      <c r="BF74" t="n">
        <v>0</v>
      </c>
      <c r="BG74" t="n">
        <v>0</v>
      </c>
      <c r="BH74" t="n">
        <v>0</v>
      </c>
    </row>
    <row r="75">
      <c r="B75" t="inlineStr">
        <is>
          <t>ООО "Полюс Сухой Лог"</t>
        </is>
      </c>
      <c r="C75" t="inlineStr">
        <is>
          <t>Погрузка</t>
        </is>
      </c>
      <c r="D75" t="inlineStr">
        <is>
          <t>Погрузка</t>
        </is>
      </c>
      <c r="E75" t="inlineStr">
        <is>
          <t>OPEX (ремонты и ТО)</t>
        </is>
      </c>
      <c r="F75" t="inlineStr">
        <is>
          <t>Экскаватор электрический WK-20 №1220</t>
        </is>
      </c>
      <c r="G75" t="inlineStr">
        <is>
          <t>100000133802</t>
        </is>
      </c>
      <c r="H75" t="inlineStr">
        <is>
          <t>1220</t>
        </is>
      </c>
      <c r="I75" t="inlineStr">
        <is>
          <t>Экскаватор электрический WK-20 №1220</t>
        </is>
      </c>
      <c r="J75" t="inlineStr">
        <is>
          <t>06-ATC-EKSK-OOBR-EXCV-EX04</t>
        </is>
      </c>
      <c r="K75" t="inlineStr">
        <is>
          <t>01.03.2024</t>
        </is>
      </c>
      <c r="L75" t="inlineStr">
        <is>
          <t>01.03.2024</t>
        </is>
      </c>
      <c r="M75" t="inlineStr">
        <is>
          <t>30.06.2039</t>
        </is>
      </c>
      <c r="N75" t="inlineStr">
        <is>
          <t>1102763038</t>
        </is>
      </c>
      <c r="O75" t="inlineStr">
        <is>
          <t>Сезонное ТО</t>
        </is>
      </c>
      <c r="P75" t="inlineStr">
        <is>
          <t>#</t>
        </is>
      </c>
      <c r="Q75" t="inlineStr">
        <is>
          <t>09.09.2027</t>
        </is>
      </c>
      <c r="R75" t="inlineStr">
        <is>
          <t>11.09.2027</t>
        </is>
      </c>
      <c r="S75" t="inlineStr">
        <is>
          <t>Хоз.способ</t>
        </is>
      </c>
      <c r="T75" t="inlineStr">
        <is>
          <t>XS</t>
        </is>
      </c>
      <c r="U75" t="inlineStr">
        <is>
          <t>ПКАЛ  ОБСЗ  ОШОЗ  ДМНП  ОТКР</t>
        </is>
      </c>
      <c r="V75" t="inlineStr">
        <is>
          <t>МТРЦ  ПЛАН</t>
        </is>
      </c>
      <c r="W75" t="inlineStr">
        <is>
          <t>Участок по ТОиР ТТ б</t>
        </is>
      </c>
      <c r="X75" t="inlineStr">
        <is>
          <t>APP1</t>
        </is>
      </c>
      <c r="Y75" t="inlineStr">
        <is>
          <t>ТОРО по ППР</t>
        </is>
      </c>
      <c r="Z75" t="inlineStr">
        <is>
          <t>Сезонное ТО1</t>
        </is>
      </c>
      <c r="AA75" t="inlineStr">
        <is>
          <t>СТ1</t>
        </is>
      </c>
      <c r="AB75" t="inlineStr">
        <is>
          <t>Парк экскаваторов WK-20</t>
        </is>
      </c>
      <c r="AC75" t="inlineStr">
        <is>
          <t>Парк экскаваторов WK-20</t>
        </is>
      </c>
      <c r="AD75" t="inlineStr">
        <is>
          <t>WK-20</t>
        </is>
      </c>
      <c r="AE75" t="inlineStr">
        <is>
          <t>Стак.фильтр.K1622.22.11 TZ</t>
        </is>
      </c>
      <c r="AF75" t="inlineStr">
        <is>
          <t>918070</t>
        </is>
      </c>
      <c r="AG75" t="inlineStr">
        <is>
          <t>K1622.22.11</t>
        </is>
      </c>
      <c r="AH75" t="inlineStr">
        <is>
          <t>09.09.2027</t>
        </is>
      </c>
      <c r="AI75" t="inlineStr">
        <is>
          <t>#</t>
        </is>
      </c>
      <c r="AJ75" t="inlineStr">
        <is>
          <t>X</t>
        </is>
      </c>
      <c r="AK75" t="inlineStr">
        <is>
          <t>Калькуляц.: 100% релеван.</t>
        </is>
      </c>
      <c r="AL75" t="inlineStr">
        <is>
          <t>12.08.2026</t>
        </is>
      </c>
      <c r="AM75" t="inlineStr">
        <is>
          <t>Зап. к экск. WK</t>
        </is>
      </c>
      <c r="AN75" t="inlineStr">
        <is>
          <t>3.1.2.7</t>
        </is>
      </c>
      <c r="AO75" t="inlineStr">
        <is>
          <t>3H2</t>
        </is>
      </c>
      <c r="AP75" t="inlineStr">
        <is>
          <t>Серавкин Д.В.</t>
        </is>
      </c>
      <c r="AQ75" t="inlineStr">
        <is>
          <t>Начиная с деблокир.</t>
        </is>
      </c>
      <c r="AR75" t="inlineStr">
        <is>
          <t>Не срочная потребнос</t>
        </is>
      </c>
      <c r="AS75" t="inlineStr">
        <is>
          <t>L</t>
        </is>
      </c>
      <c r="AT75" t="inlineStr">
        <is>
          <t>Складская позиция</t>
        </is>
      </c>
      <c r="AU75" t="inlineStr">
        <is>
          <t>АО «Развитие» Иркутс</t>
        </is>
      </c>
      <c r="AV75" t="inlineStr">
        <is>
          <t>7102/100</t>
        </is>
      </c>
      <c r="AW75" t="inlineStr">
        <is>
          <t>Механика</t>
        </is>
      </c>
      <c r="AX75" t="inlineStr">
        <is>
          <t>Taiyuan Heavy Industry</t>
        </is>
      </c>
      <c r="AY75" t="inlineStr">
        <is>
          <t>TZ</t>
        </is>
      </c>
      <c r="AZ75" t="n">
        <v>1217521.2</v>
      </c>
      <c r="BA75" t="n">
        <v>20292.02</v>
      </c>
      <c r="BB75" t="n">
        <v>60</v>
      </c>
      <c r="BC75" t="n">
        <v>0</v>
      </c>
      <c r="BD75" t="n">
        <v>0</v>
      </c>
      <c r="BF75" t="n">
        <v>0</v>
      </c>
      <c r="BG75" t="n">
        <v>0</v>
      </c>
      <c r="BH75" t="n">
        <v>0</v>
      </c>
    </row>
    <row r="76">
      <c r="B76" t="inlineStr">
        <is>
          <t>ООО "Полюс Сухой Лог"</t>
        </is>
      </c>
      <c r="C76" t="inlineStr">
        <is>
          <t>Погрузка</t>
        </is>
      </c>
      <c r="D76" t="inlineStr">
        <is>
          <t>Погрузка</t>
        </is>
      </c>
      <c r="E76" t="inlineStr">
        <is>
          <t>OPEX (ремонты и ТО)</t>
        </is>
      </c>
      <c r="F76" t="inlineStr">
        <is>
          <t>Экскаватор электрический WK-20 №1220</t>
        </is>
      </c>
      <c r="G76" t="inlineStr">
        <is>
          <t>100000133802</t>
        </is>
      </c>
      <c r="H76" t="inlineStr">
        <is>
          <t>1220</t>
        </is>
      </c>
      <c r="I76" t="inlineStr">
        <is>
          <t>Экскаватор электрический WK-20 №1220</t>
        </is>
      </c>
      <c r="J76" t="inlineStr">
        <is>
          <t>06-ATC-EKSK-OOBR-EXCV-EX04</t>
        </is>
      </c>
      <c r="K76" t="inlineStr">
        <is>
          <t>01.03.2024</t>
        </is>
      </c>
      <c r="L76" t="inlineStr">
        <is>
          <t>01.03.2024</t>
        </is>
      </c>
      <c r="M76" t="inlineStr">
        <is>
          <t>30.06.2039</t>
        </is>
      </c>
      <c r="N76" t="inlineStr">
        <is>
          <t>1102763038</t>
        </is>
      </c>
      <c r="O76" t="inlineStr">
        <is>
          <t>Сезонное ТО</t>
        </is>
      </c>
      <c r="P76" t="inlineStr">
        <is>
          <t>#</t>
        </is>
      </c>
      <c r="Q76" t="inlineStr">
        <is>
          <t>09.09.2027</t>
        </is>
      </c>
      <c r="R76" t="inlineStr">
        <is>
          <t>11.09.2027</t>
        </is>
      </c>
      <c r="S76" t="inlineStr">
        <is>
          <t>Хоз.способ</t>
        </is>
      </c>
      <c r="T76" t="inlineStr">
        <is>
          <t>XS</t>
        </is>
      </c>
      <c r="U76" t="inlineStr">
        <is>
          <t>ПКАЛ  ОБСЗ  ОШОЗ  ДМНП  ОТКР</t>
        </is>
      </c>
      <c r="V76" t="inlineStr">
        <is>
          <t>МТРЦ  ПЛАН</t>
        </is>
      </c>
      <c r="W76" t="inlineStr">
        <is>
          <t>Участок по ТОиР ТТ б</t>
        </is>
      </c>
      <c r="X76" t="inlineStr">
        <is>
          <t>APP1</t>
        </is>
      </c>
      <c r="Y76" t="inlineStr">
        <is>
          <t>ТОРО по ППР</t>
        </is>
      </c>
      <c r="Z76" t="inlineStr">
        <is>
          <t>Сезонное ТО1</t>
        </is>
      </c>
      <c r="AA76" t="inlineStr">
        <is>
          <t>СТ1</t>
        </is>
      </c>
      <c r="AB76" t="inlineStr">
        <is>
          <t>Парк экскаваторов WK-20</t>
        </is>
      </c>
      <c r="AC76" t="inlineStr">
        <is>
          <t>Парк экскаваторов WK-20</t>
        </is>
      </c>
      <c r="AD76" t="inlineStr">
        <is>
          <t>WK-20</t>
        </is>
      </c>
      <c r="AE76" t="inlineStr">
        <is>
          <t>Фильтр кондиц. возд. HJ-140(20) TZ</t>
        </is>
      </c>
      <c r="AF76" t="inlineStr">
        <is>
          <t>1395014</t>
        </is>
      </c>
      <c r="AG76" t="inlineStr">
        <is>
          <t>HJ-140(20)</t>
        </is>
      </c>
      <c r="AH76" t="inlineStr">
        <is>
          <t>09.09.2027</t>
        </is>
      </c>
      <c r="AI76" t="inlineStr">
        <is>
          <t>#</t>
        </is>
      </c>
      <c r="AJ76" t="inlineStr">
        <is>
          <t>X</t>
        </is>
      </c>
      <c r="AK76" t="inlineStr">
        <is>
          <t>Калькуляц.: 100% релеван.</t>
        </is>
      </c>
      <c r="AL76" t="inlineStr">
        <is>
          <t>02.07.2026</t>
        </is>
      </c>
      <c r="AM76" t="inlineStr">
        <is>
          <t>Зап. к экск. WK</t>
        </is>
      </c>
      <c r="AN76" t="inlineStr">
        <is>
          <t>3.1.2.7</t>
        </is>
      </c>
      <c r="AO76" t="inlineStr">
        <is>
          <t>3H2</t>
        </is>
      </c>
      <c r="AP76" t="inlineStr">
        <is>
          <t>Серавкин Д.В.</t>
        </is>
      </c>
      <c r="AQ76" t="inlineStr">
        <is>
          <t>Начиная с деблокир.</t>
        </is>
      </c>
      <c r="AR76" t="inlineStr">
        <is>
          <t>Не срочная потребнос</t>
        </is>
      </c>
      <c r="AS76" t="inlineStr">
        <is>
          <t>L</t>
        </is>
      </c>
      <c r="AT76" t="inlineStr">
        <is>
          <t>Складская позиция</t>
        </is>
      </c>
      <c r="AU76" t="inlineStr">
        <is>
          <t>АО «Развитие» Иркутс</t>
        </is>
      </c>
      <c r="AV76" t="inlineStr">
        <is>
          <t>7102/100</t>
        </is>
      </c>
      <c r="AW76" t="inlineStr">
        <is>
          <t>Механика</t>
        </is>
      </c>
      <c r="AX76" t="inlineStr">
        <is>
          <t>Taiyuan Heavy Industry</t>
        </is>
      </c>
      <c r="AY76" t="inlineStr">
        <is>
          <t>TZ</t>
        </is>
      </c>
      <c r="AZ76" t="n">
        <v>169370.01</v>
      </c>
      <c r="BA76" t="n">
        <v>18818.89</v>
      </c>
      <c r="BB76" t="n">
        <v>9</v>
      </c>
      <c r="BC76" t="n">
        <v>0</v>
      </c>
      <c r="BD76" t="n">
        <v>0</v>
      </c>
      <c r="BF76" t="n">
        <v>0</v>
      </c>
      <c r="BG76" t="n">
        <v>0</v>
      </c>
      <c r="BH76" t="n">
        <v>0</v>
      </c>
    </row>
    <row r="77">
      <c r="B77" t="inlineStr">
        <is>
          <t>ООО "Полюс Сухой Лог"</t>
        </is>
      </c>
      <c r="C77" t="inlineStr">
        <is>
          <t>Погрузка</t>
        </is>
      </c>
      <c r="D77" t="inlineStr">
        <is>
          <t>Погрузка</t>
        </is>
      </c>
      <c r="E77" t="inlineStr">
        <is>
          <t>OPEX (ремонты и ТО)</t>
        </is>
      </c>
      <c r="F77" t="inlineStr">
        <is>
          <t>Экскаватор электрический WK-20 №1220</t>
        </is>
      </c>
      <c r="G77" t="inlineStr">
        <is>
          <t>100000133802</t>
        </is>
      </c>
      <c r="H77" t="inlineStr">
        <is>
          <t>1220</t>
        </is>
      </c>
      <c r="I77" t="inlineStr">
        <is>
          <t>Экскаватор электрический WK-20 №1220</t>
        </is>
      </c>
      <c r="J77" t="inlineStr">
        <is>
          <t>06-ATC-EKSK-OOBR-EXCV-EX04</t>
        </is>
      </c>
      <c r="K77" t="inlineStr">
        <is>
          <t>01.03.2024</t>
        </is>
      </c>
      <c r="L77" t="inlineStr">
        <is>
          <t>01.03.2024</t>
        </is>
      </c>
      <c r="M77" t="inlineStr">
        <is>
          <t>30.06.2039</t>
        </is>
      </c>
      <c r="N77" t="inlineStr">
        <is>
          <t>1102763038</t>
        </is>
      </c>
      <c r="O77" t="inlineStr">
        <is>
          <t>Сезонное ТО</t>
        </is>
      </c>
      <c r="P77" t="inlineStr">
        <is>
          <t>#</t>
        </is>
      </c>
      <c r="Q77" t="inlineStr">
        <is>
          <t>09.09.2027</t>
        </is>
      </c>
      <c r="R77" t="inlineStr">
        <is>
          <t>11.09.2027</t>
        </is>
      </c>
      <c r="S77" t="inlineStr">
        <is>
          <t>Хоз.способ</t>
        </is>
      </c>
      <c r="T77" t="inlineStr">
        <is>
          <t>XS</t>
        </is>
      </c>
      <c r="U77" t="inlineStr">
        <is>
          <t>ПКАЛ  ОБСЗ  ОШОЗ  ДМНП  ОТКР</t>
        </is>
      </c>
      <c r="V77" t="inlineStr">
        <is>
          <t>МТРЦ  ПЛАН</t>
        </is>
      </c>
      <c r="W77" t="inlineStr">
        <is>
          <t>Участок по ТОиР ТТ б</t>
        </is>
      </c>
      <c r="X77" t="inlineStr">
        <is>
          <t>APP1</t>
        </is>
      </c>
      <c r="Y77" t="inlineStr">
        <is>
          <t>ТОРО по ППР</t>
        </is>
      </c>
      <c r="Z77" t="inlineStr">
        <is>
          <t>Сезонное ТО1</t>
        </is>
      </c>
      <c r="AA77" t="inlineStr">
        <is>
          <t>СТ1</t>
        </is>
      </c>
      <c r="AB77" t="inlineStr">
        <is>
          <t>Парк экскаваторов WK-20</t>
        </is>
      </c>
      <c r="AC77" t="inlineStr">
        <is>
          <t>Парк экскаваторов WK-20</t>
        </is>
      </c>
      <c r="AD77" t="inlineStr">
        <is>
          <t>WK-20</t>
        </is>
      </c>
      <c r="AE77" t="inlineStr">
        <is>
          <t>Фильтр осушит. 2901200304 TZ</t>
        </is>
      </c>
      <c r="AF77" t="inlineStr">
        <is>
          <t>917576</t>
        </is>
      </c>
      <c r="AG77" t="inlineStr">
        <is>
          <t>2901200304</t>
        </is>
      </c>
      <c r="AH77" t="inlineStr">
        <is>
          <t>09.09.2027</t>
        </is>
      </c>
      <c r="AI77" t="inlineStr">
        <is>
          <t>#</t>
        </is>
      </c>
      <c r="AJ77" t="inlineStr">
        <is>
          <t>X</t>
        </is>
      </c>
      <c r="AK77" t="inlineStr">
        <is>
          <t>Калькуляц.: 100% релеван.</t>
        </is>
      </c>
      <c r="AL77" t="inlineStr">
        <is>
          <t>12.08.2026</t>
        </is>
      </c>
      <c r="AM77" t="inlineStr">
        <is>
          <t>Зап. к экск. WK</t>
        </is>
      </c>
      <c r="AN77" t="inlineStr">
        <is>
          <t>3.1.2.7</t>
        </is>
      </c>
      <c r="AO77" t="inlineStr">
        <is>
          <t>3H2</t>
        </is>
      </c>
      <c r="AP77" t="inlineStr">
        <is>
          <t>Серавкин Д.В.</t>
        </is>
      </c>
      <c r="AQ77" t="inlineStr">
        <is>
          <t>Начиная с деблокир.</t>
        </is>
      </c>
      <c r="AR77" t="inlineStr">
        <is>
          <t>Не срочная потребнос</t>
        </is>
      </c>
      <c r="AS77" t="inlineStr">
        <is>
          <t>L</t>
        </is>
      </c>
      <c r="AT77" t="inlineStr">
        <is>
          <t>Складская позиция</t>
        </is>
      </c>
      <c r="AU77" t="inlineStr">
        <is>
          <t>АО «Развитие» Иркутс</t>
        </is>
      </c>
      <c r="AV77" t="inlineStr">
        <is>
          <t>7102/100</t>
        </is>
      </c>
      <c r="AW77" t="inlineStr">
        <is>
          <t>Механика</t>
        </is>
      </c>
      <c r="AX77" t="inlineStr">
        <is>
          <t>Taiyuan Heavy Industry</t>
        </is>
      </c>
      <c r="AY77" t="inlineStr">
        <is>
          <t>TZ</t>
        </is>
      </c>
      <c r="AZ77" t="n">
        <v>31864.53</v>
      </c>
      <c r="BA77" t="n">
        <v>31864.53</v>
      </c>
      <c r="BB77" t="n">
        <v>1</v>
      </c>
      <c r="BC77" t="n">
        <v>0</v>
      </c>
      <c r="BD77" t="n">
        <v>0</v>
      </c>
      <c r="BF77" t="n">
        <v>0</v>
      </c>
      <c r="BG77" t="n">
        <v>0</v>
      </c>
      <c r="BH77" t="n">
        <v>0</v>
      </c>
    </row>
    <row r="78">
      <c r="B78" t="inlineStr">
        <is>
          <t>ООО "Полюс Сухой Лог"</t>
        </is>
      </c>
      <c r="C78" t="inlineStr">
        <is>
          <t>Погрузка</t>
        </is>
      </c>
      <c r="D78" t="inlineStr">
        <is>
          <t>Погрузка</t>
        </is>
      </c>
      <c r="E78" t="inlineStr">
        <is>
          <t>OPEX (ремонты и ТО)</t>
        </is>
      </c>
      <c r="F78" t="inlineStr">
        <is>
          <t>Экскаватор электрический WK-20 №1220</t>
        </is>
      </c>
      <c r="G78" t="inlineStr">
        <is>
          <t>100000133802</t>
        </is>
      </c>
      <c r="H78" t="inlineStr">
        <is>
          <t>1220</t>
        </is>
      </c>
      <c r="I78" t="inlineStr">
        <is>
          <t>Экскаватор электрический WK-20 №1220</t>
        </is>
      </c>
      <c r="J78" t="inlineStr">
        <is>
          <t>06-ATC-EKSK-OOBR-EXCV-EX04</t>
        </is>
      </c>
      <c r="K78" t="inlineStr">
        <is>
          <t>01.03.2024</t>
        </is>
      </c>
      <c r="L78" t="inlineStr">
        <is>
          <t>01.03.2024</t>
        </is>
      </c>
      <c r="M78" t="inlineStr">
        <is>
          <t>30.06.2039</t>
        </is>
      </c>
      <c r="N78" t="inlineStr">
        <is>
          <t>1102763038</t>
        </is>
      </c>
      <c r="O78" t="inlineStr">
        <is>
          <t>Сезонное ТО</t>
        </is>
      </c>
      <c r="P78" t="inlineStr">
        <is>
          <t>#</t>
        </is>
      </c>
      <c r="Q78" t="inlineStr">
        <is>
          <t>09.09.2027</t>
        </is>
      </c>
      <c r="R78" t="inlineStr">
        <is>
          <t>11.09.2027</t>
        </is>
      </c>
      <c r="S78" t="inlineStr">
        <is>
          <t>Хоз.способ</t>
        </is>
      </c>
      <c r="T78" t="inlineStr">
        <is>
          <t>XS</t>
        </is>
      </c>
      <c r="U78" t="inlineStr">
        <is>
          <t>ПКАЛ  ОБСЗ  ОШОЗ  ДМНП  ОТКР</t>
        </is>
      </c>
      <c r="V78" t="inlineStr">
        <is>
          <t>МТРЦ  ПЛАН</t>
        </is>
      </c>
      <c r="W78" t="inlineStr">
        <is>
          <t>Участок по ТОиР ТТ б</t>
        </is>
      </c>
      <c r="X78" t="inlineStr">
        <is>
          <t>APP1</t>
        </is>
      </c>
      <c r="Y78" t="inlineStr">
        <is>
          <t>ТОРО по ППР</t>
        </is>
      </c>
      <c r="Z78" t="inlineStr">
        <is>
          <t>Сезонное ТО1</t>
        </is>
      </c>
      <c r="AA78" t="inlineStr">
        <is>
          <t>СТ1</t>
        </is>
      </c>
      <c r="AB78" t="inlineStr">
        <is>
          <t>Парк экскаваторов WK-20</t>
        </is>
      </c>
      <c r="AC78" t="inlineStr">
        <is>
          <t>Парк экскаваторов WK-20</t>
        </is>
      </c>
      <c r="AD78" t="inlineStr">
        <is>
          <t>WK-20</t>
        </is>
      </c>
      <c r="AE78" t="inlineStr">
        <is>
          <t>Фильтр осушит. 2901200404 TZ</t>
        </is>
      </c>
      <c r="AF78" t="inlineStr">
        <is>
          <t>917577</t>
        </is>
      </c>
      <c r="AG78" t="inlineStr">
        <is>
          <t>2901200404</t>
        </is>
      </c>
      <c r="AH78" t="inlineStr">
        <is>
          <t>09.09.2027</t>
        </is>
      </c>
      <c r="AI78" t="inlineStr">
        <is>
          <t>#</t>
        </is>
      </c>
      <c r="AJ78" t="inlineStr">
        <is>
          <t>X</t>
        </is>
      </c>
      <c r="AK78" t="inlineStr">
        <is>
          <t>Калькуляц.: 100% релеван.</t>
        </is>
      </c>
      <c r="AL78" t="inlineStr">
        <is>
          <t>12.08.2026</t>
        </is>
      </c>
      <c r="AM78" t="inlineStr">
        <is>
          <t>Зап. к экск. WK</t>
        </is>
      </c>
      <c r="AN78" t="inlineStr">
        <is>
          <t>3.1.2.7</t>
        </is>
      </c>
      <c r="AO78" t="inlineStr">
        <is>
          <t>3H2</t>
        </is>
      </c>
      <c r="AP78" t="inlineStr">
        <is>
          <t>Серавкин Д.В.</t>
        </is>
      </c>
      <c r="AQ78" t="inlineStr">
        <is>
          <t>Начиная с деблокир.</t>
        </is>
      </c>
      <c r="AR78" t="inlineStr">
        <is>
          <t>Не срочная потребнос</t>
        </is>
      </c>
      <c r="AS78" t="inlineStr">
        <is>
          <t>L</t>
        </is>
      </c>
      <c r="AT78" t="inlineStr">
        <is>
          <t>Складская позиция</t>
        </is>
      </c>
      <c r="AU78" t="inlineStr">
        <is>
          <t>АО «Развитие» Иркутс</t>
        </is>
      </c>
      <c r="AV78" t="inlineStr">
        <is>
          <t>7102/100</t>
        </is>
      </c>
      <c r="AW78" t="inlineStr">
        <is>
          <t>Механика</t>
        </is>
      </c>
      <c r="AX78" t="inlineStr">
        <is>
          <t>Taiyuan Heavy Industry</t>
        </is>
      </c>
      <c r="AY78" t="inlineStr">
        <is>
          <t>TZ</t>
        </is>
      </c>
      <c r="AZ78" t="n">
        <v>31864.53</v>
      </c>
      <c r="BA78" t="n">
        <v>31864.53</v>
      </c>
      <c r="BB78" t="n">
        <v>1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</row>
    <row r="79">
      <c r="B79" t="inlineStr">
        <is>
          <t>ООО "Полюс Сухой Лог"</t>
        </is>
      </c>
      <c r="C79" t="inlineStr">
        <is>
          <t>Погрузка</t>
        </is>
      </c>
      <c r="D79" t="inlineStr">
        <is>
          <t>Погрузка</t>
        </is>
      </c>
      <c r="E79" t="inlineStr">
        <is>
          <t>OPEX (ремонты и ТО)</t>
        </is>
      </c>
      <c r="F79" t="inlineStr">
        <is>
          <t>Экскаватор электрический WK-20 №1220</t>
        </is>
      </c>
      <c r="G79" t="inlineStr">
        <is>
          <t>100000133802</t>
        </is>
      </c>
      <c r="H79" t="inlineStr">
        <is>
          <t>1220</t>
        </is>
      </c>
      <c r="I79" t="inlineStr">
        <is>
          <t>Экскаватор электрический WK-20 №1220</t>
        </is>
      </c>
      <c r="J79" t="inlineStr">
        <is>
          <t>06-ATC-EKSK-OOBR-EXCV-EX04</t>
        </is>
      </c>
      <c r="K79" t="inlineStr">
        <is>
          <t>01.03.2024</t>
        </is>
      </c>
      <c r="L79" t="inlineStr">
        <is>
          <t>01.03.2024</t>
        </is>
      </c>
      <c r="M79" t="inlineStr">
        <is>
          <t>30.06.2039</t>
        </is>
      </c>
      <c r="N79" t="inlineStr">
        <is>
          <t>1200434254</t>
        </is>
      </c>
      <c r="O79" t="inlineStr">
        <is>
          <t>Неисправность токоприемника</t>
        </is>
      </c>
      <c r="P79" t="inlineStr">
        <is>
          <t>#</t>
        </is>
      </c>
      <c r="Q79" t="inlineStr">
        <is>
          <t>20.03.2027</t>
        </is>
      </c>
      <c r="R79" t="inlineStr">
        <is>
          <t>20.03.2027</t>
        </is>
      </c>
      <c r="S79" t="inlineStr">
        <is>
          <t>Хоз.способ</t>
        </is>
      </c>
      <c r="T79" t="inlineStr">
        <is>
          <t>XS</t>
        </is>
      </c>
      <c r="U79" t="inlineStr">
        <is>
          <t>ОШОЗ  ДМНП  ОТКР  ПКАЛ  ОБСЗ</t>
        </is>
      </c>
      <c r="V79" t="inlineStr">
        <is>
          <t>ПТОГ  СГГС  ГОД  МТРЦ</t>
        </is>
      </c>
      <c r="W79" t="inlineStr">
        <is>
          <t>Карьер_энергослужба</t>
        </is>
      </c>
      <c r="X79" t="inlineStr">
        <is>
          <t>AVS1</t>
        </is>
      </c>
      <c r="Y79" t="inlineStr">
        <is>
          <t>ТОРО по Дефектной ве</t>
        </is>
      </c>
      <c r="Z79" t="inlineStr">
        <is>
          <t>Текущий ремонт</t>
        </is>
      </c>
      <c r="AA79" t="inlineStr">
        <is>
          <t>ТР</t>
        </is>
      </c>
      <c r="AB79" t="inlineStr">
        <is>
          <t>Парк экскаваторов WK-20</t>
        </is>
      </c>
      <c r="AC79" t="inlineStr">
        <is>
          <t>Парк экскаваторов WK-20</t>
        </is>
      </c>
      <c r="AD79" t="inlineStr">
        <is>
          <t>WK-20</t>
        </is>
      </c>
      <c r="AE79" t="inlineStr">
        <is>
          <t>Токоприемник каб. бараб. DK1628.01.99 TZ</t>
        </is>
      </c>
      <c r="AF79" t="inlineStr">
        <is>
          <t>1397847</t>
        </is>
      </c>
      <c r="AG79" t="inlineStr">
        <is>
          <t>DK1628.01.99</t>
        </is>
      </c>
      <c r="AH79" t="inlineStr">
        <is>
          <t>20.03.2027</t>
        </is>
      </c>
      <c r="AI79" t="inlineStr">
        <is>
          <t>#</t>
        </is>
      </c>
      <c r="AJ79" t="inlineStr">
        <is>
          <t>X</t>
        </is>
      </c>
      <c r="AK79" t="inlineStr">
        <is>
          <t>Калькуляц.: 100% релеван.</t>
        </is>
      </c>
      <c r="AL79" t="inlineStr">
        <is>
          <t>07.07.2026</t>
        </is>
      </c>
      <c r="AM79" t="inlineStr">
        <is>
          <t>Зап. к экск. WK</t>
        </is>
      </c>
      <c r="AN79" t="inlineStr">
        <is>
          <t>3.1.2.7</t>
        </is>
      </c>
      <c r="AO79" t="inlineStr">
        <is>
          <t>107</t>
        </is>
      </c>
      <c r="AP79" t="inlineStr">
        <is>
          <t>Серавкин Д.В.</t>
        </is>
      </c>
      <c r="AQ79" t="inlineStr">
        <is>
          <t>Начиная с деблокир.</t>
        </is>
      </c>
      <c r="AR79" t="inlineStr">
        <is>
          <t>Не срочная потребнос</t>
        </is>
      </c>
      <c r="AS79" t="inlineStr">
        <is>
          <t>L</t>
        </is>
      </c>
      <c r="AT79" t="inlineStr">
        <is>
          <t>Складская позиция</t>
        </is>
      </c>
      <c r="AU79" t="inlineStr">
        <is>
          <t>ООО Полюс Сухой Лог</t>
        </is>
      </c>
      <c r="AV79" t="inlineStr">
        <is>
          <t>2400/200</t>
        </is>
      </c>
      <c r="AW79" t="inlineStr">
        <is>
          <t>Энергетика</t>
        </is>
      </c>
      <c r="AX79" t="inlineStr">
        <is>
          <t>Taiyuan Heavy Industry</t>
        </is>
      </c>
      <c r="AY79" t="inlineStr">
        <is>
          <t>TZ</t>
        </is>
      </c>
      <c r="AZ79" t="n">
        <v>3901372.76</v>
      </c>
      <c r="BA79" t="n">
        <v>3901372.76</v>
      </c>
      <c r="BB79" t="n">
        <v>1</v>
      </c>
      <c r="BC79" t="n">
        <v>0</v>
      </c>
      <c r="BD79" t="n">
        <v>0</v>
      </c>
      <c r="BF79" t="n">
        <v>0</v>
      </c>
      <c r="BG79" t="n">
        <v>0</v>
      </c>
      <c r="BH79" t="n">
        <v>0</v>
      </c>
    </row>
    <row r="80">
      <c r="B80" t="inlineStr">
        <is>
          <t>ООО "Полюс Сухой Лог"</t>
        </is>
      </c>
      <c r="C80" t="inlineStr">
        <is>
          <t>Погрузка</t>
        </is>
      </c>
      <c r="D80" t="inlineStr">
        <is>
          <t>Погрузка</t>
        </is>
      </c>
      <c r="E80" t="inlineStr">
        <is>
          <t>OPEX (Укрупненное ТО)</t>
        </is>
      </c>
      <c r="F80" t="inlineStr">
        <is>
          <t>Экскаватор электрический WK-20 №1220</t>
        </is>
      </c>
      <c r="G80" t="inlineStr">
        <is>
          <t>100000133802</t>
        </is>
      </c>
      <c r="H80" t="inlineStr">
        <is>
          <t>1220</t>
        </is>
      </c>
      <c r="I80" t="inlineStr">
        <is>
          <t>Экскаватор электрический WK-20 №1220</t>
        </is>
      </c>
      <c r="J80" t="inlineStr">
        <is>
          <t>06-ATC-EKSK-OOBR-EXCV-EX04</t>
        </is>
      </c>
      <c r="K80" t="inlineStr">
        <is>
          <t>01.03.2024</t>
        </is>
      </c>
      <c r="L80" t="inlineStr">
        <is>
          <t>01.03.2024</t>
        </is>
      </c>
      <c r="M80" t="inlineStr">
        <is>
          <t>30.06.2039</t>
        </is>
      </c>
      <c r="N80" t="inlineStr">
        <is>
          <t>110000023773</t>
        </is>
      </c>
      <c r="O80" t="inlineStr">
        <is>
          <t>110000023773</t>
        </is>
      </c>
      <c r="P80" t="inlineStr">
        <is>
          <t>#</t>
        </is>
      </c>
      <c r="Q80" t="inlineStr">
        <is>
          <t>23.01.2027</t>
        </is>
      </c>
      <c r="R80" t="inlineStr">
        <is>
          <t>23.01.2027</t>
        </is>
      </c>
      <c r="S80" t="inlineStr">
        <is>
          <t>Не присвоено</t>
        </is>
      </c>
      <c r="T80" t="inlineStr">
        <is>
          <t>#</t>
        </is>
      </c>
      <c r="U80" t="inlineStr">
        <is>
          <t>#</t>
        </is>
      </c>
      <c r="V80" t="inlineStr">
        <is>
          <t>#</t>
        </is>
      </c>
      <c r="W80" t="inlineStr">
        <is>
          <t>АТ МАЙНИНГ ООО (абон</t>
        </is>
      </c>
      <c r="X80" t="inlineStr">
        <is>
          <t>APP1</t>
        </is>
      </c>
      <c r="Y80" t="inlineStr">
        <is>
          <t>ТОРО по ППР</t>
        </is>
      </c>
      <c r="Z80" t="inlineStr">
        <is>
          <t>Техническое обслуживание 1</t>
        </is>
      </c>
      <c r="AA80" t="inlineStr">
        <is>
          <t>ТО1</t>
        </is>
      </c>
      <c r="AB80" t="inlineStr">
        <is>
          <t>Парк экскаваторов WK-20</t>
        </is>
      </c>
      <c r="AC80" t="inlineStr">
        <is>
          <t>Парк экскаваторов WK-20</t>
        </is>
      </c>
      <c r="AD80" t="inlineStr">
        <is>
          <t>WK-20</t>
        </is>
      </c>
      <c r="AE80" t="inlineStr">
        <is>
          <t>Болтокомплект M24х120-10.9/10-HR-ХЛ</t>
        </is>
      </c>
      <c r="AF80" t="inlineStr">
        <is>
          <t>1000062</t>
        </is>
      </c>
      <c r="AG80" t="inlineStr">
        <is>
          <t>#</t>
        </is>
      </c>
      <c r="AH80" t="inlineStr">
        <is>
          <t>23.01.2027</t>
        </is>
      </c>
      <c r="AI80" t="inlineStr">
        <is>
          <t>#</t>
        </is>
      </c>
      <c r="AJ80" t="inlineStr">
        <is>
          <t>X</t>
        </is>
      </c>
      <c r="AK80" t="inlineStr">
        <is>
          <t>Калькуляц.: 100% релеван.</t>
        </is>
      </c>
      <c r="AL80" t="inlineStr">
        <is>
          <t>#</t>
        </is>
      </c>
      <c r="AM80" t="inlineStr">
        <is>
          <t>Крепеж общепр.</t>
        </is>
      </c>
      <c r="AN80" t="inlineStr">
        <is>
          <t>2.1.2</t>
        </is>
      </c>
      <c r="AO80" t="inlineStr">
        <is>
          <t>#</t>
        </is>
      </c>
      <c r="AP80" t="inlineStr">
        <is>
          <t>#</t>
        </is>
      </c>
      <c r="AQ80" t="inlineStr">
        <is>
          <t>Немедленно</t>
        </is>
      </c>
      <c r="AR80" t="inlineStr">
        <is>
          <t>Не срочная потребнос</t>
        </is>
      </c>
      <c r="AS80" t="inlineStr">
        <is>
          <t>L</t>
        </is>
      </c>
      <c r="AT80" t="inlineStr">
        <is>
          <t>Складская позиция</t>
        </is>
      </c>
      <c r="AU80" t="inlineStr">
        <is>
          <t>АО «Развитие» Иркутс</t>
        </is>
      </c>
      <c r="AV80" t="inlineStr">
        <is>
          <t>7102/100</t>
        </is>
      </c>
      <c r="AW80" t="inlineStr">
        <is>
          <t>Механика</t>
        </is>
      </c>
      <c r="AX80" t="inlineStr">
        <is>
          <t>Taiyuan Heavy Industry</t>
        </is>
      </c>
      <c r="AY80" t="inlineStr">
        <is>
          <t>#</t>
        </is>
      </c>
      <c r="AZ80" t="n">
        <v>45.12</v>
      </c>
      <c r="BB80" t="n">
        <v>1</v>
      </c>
      <c r="BC80" t="n">
        <v>0</v>
      </c>
    </row>
    <row r="81">
      <c r="B81" t="inlineStr">
        <is>
          <t>ООО "Полюс Сухой Лог"</t>
        </is>
      </c>
      <c r="C81" t="inlineStr">
        <is>
          <t>Погрузка</t>
        </is>
      </c>
      <c r="D81" t="inlineStr">
        <is>
          <t>Погрузка</t>
        </is>
      </c>
      <c r="E81" t="inlineStr">
        <is>
          <t>OPEX (Укрупненное ТО)</t>
        </is>
      </c>
      <c r="F81" t="inlineStr">
        <is>
          <t>Экскаватор электрический WK-20 №1220</t>
        </is>
      </c>
      <c r="G81" t="inlineStr">
        <is>
          <t>100000133802</t>
        </is>
      </c>
      <c r="H81" t="inlineStr">
        <is>
          <t>1220</t>
        </is>
      </c>
      <c r="I81" t="inlineStr">
        <is>
          <t>Экскаватор электрический WK-20 №1220</t>
        </is>
      </c>
      <c r="J81" t="inlineStr">
        <is>
          <t>06-ATC-EKSK-OOBR-EXCV-EX04</t>
        </is>
      </c>
      <c r="K81" t="inlineStr">
        <is>
          <t>01.03.2024</t>
        </is>
      </c>
      <c r="L81" t="inlineStr">
        <is>
          <t>01.03.2024</t>
        </is>
      </c>
      <c r="M81" t="inlineStr">
        <is>
          <t>30.06.2039</t>
        </is>
      </c>
      <c r="N81" t="inlineStr">
        <is>
          <t>110000023773</t>
        </is>
      </c>
      <c r="O81" t="inlineStr">
        <is>
          <t>110000023773</t>
        </is>
      </c>
      <c r="P81" t="inlineStr">
        <is>
          <t>#</t>
        </is>
      </c>
      <c r="Q81" t="inlineStr">
        <is>
          <t>23.01.2027</t>
        </is>
      </c>
      <c r="R81" t="inlineStr">
        <is>
          <t>23.01.2027</t>
        </is>
      </c>
      <c r="S81" t="inlineStr">
        <is>
          <t>Не присвоено</t>
        </is>
      </c>
      <c r="T81" t="inlineStr">
        <is>
          <t>#</t>
        </is>
      </c>
      <c r="U81" t="inlineStr">
        <is>
          <t>#</t>
        </is>
      </c>
      <c r="V81" t="inlineStr">
        <is>
          <t>#</t>
        </is>
      </c>
      <c r="W81" t="inlineStr">
        <is>
          <t>АТ МАЙНИНГ ООО (абон</t>
        </is>
      </c>
      <c r="X81" t="inlineStr">
        <is>
          <t>APP1</t>
        </is>
      </c>
      <c r="Y81" t="inlineStr">
        <is>
          <t>ТОРО по ППР</t>
        </is>
      </c>
      <c r="Z81" t="inlineStr">
        <is>
          <t>Техническое обслуживание 1</t>
        </is>
      </c>
      <c r="AA81" t="inlineStr">
        <is>
          <t>ТО1</t>
        </is>
      </c>
      <c r="AB81" t="inlineStr">
        <is>
          <t>Парк экскаваторов WK-20</t>
        </is>
      </c>
      <c r="AC81" t="inlineStr">
        <is>
          <t>Парк экскаваторов WK-20</t>
        </is>
      </c>
      <c r="AD81" t="inlineStr">
        <is>
          <t>WK-20</t>
        </is>
      </c>
      <c r="AE81" t="inlineStr">
        <is>
          <t>Болтокомплект M36х130-10.9/10-HR-ХЛ</t>
        </is>
      </c>
      <c r="AF81" t="inlineStr">
        <is>
          <t>1359031</t>
        </is>
      </c>
      <c r="AG81" t="inlineStr">
        <is>
          <t>#</t>
        </is>
      </c>
      <c r="AH81" t="inlineStr">
        <is>
          <t>23.01.2027</t>
        </is>
      </c>
      <c r="AI81" t="inlineStr">
        <is>
          <t>#</t>
        </is>
      </c>
      <c r="AJ81" t="inlineStr">
        <is>
          <t>X</t>
        </is>
      </c>
      <c r="AK81" t="inlineStr">
        <is>
          <t>Калькуляц.: 100% релеван.</t>
        </is>
      </c>
      <c r="AL81" t="inlineStr">
        <is>
          <t>#</t>
        </is>
      </c>
      <c r="AM81" t="inlineStr">
        <is>
          <t>Крепеж общепр.</t>
        </is>
      </c>
      <c r="AN81" t="inlineStr">
        <is>
          <t>2.1.2</t>
        </is>
      </c>
      <c r="AO81" t="inlineStr">
        <is>
          <t>#</t>
        </is>
      </c>
      <c r="AP81" t="inlineStr">
        <is>
          <t>#</t>
        </is>
      </c>
      <c r="AQ81" t="inlineStr">
        <is>
          <t>Немедленно</t>
        </is>
      </c>
      <c r="AR81" t="inlineStr">
        <is>
          <t>Не срочная потребнос</t>
        </is>
      </c>
      <c r="AS81" t="inlineStr">
        <is>
          <t>L</t>
        </is>
      </c>
      <c r="AT81" t="inlineStr">
        <is>
          <t>Складская позиция</t>
        </is>
      </c>
      <c r="AU81" t="inlineStr">
        <is>
          <t>АО «Развитие» Иркутс</t>
        </is>
      </c>
      <c r="AV81" t="inlineStr">
        <is>
          <t>7102/100</t>
        </is>
      </c>
      <c r="AW81" t="inlineStr">
        <is>
          <t>Механика</t>
        </is>
      </c>
      <c r="AX81" t="inlineStr">
        <is>
          <t>Taiyuan Heavy Industry</t>
        </is>
      </c>
      <c r="AY81" t="inlineStr">
        <is>
          <t>#</t>
        </is>
      </c>
      <c r="AZ81" t="n">
        <v>1018.64</v>
      </c>
      <c r="BB81" t="n">
        <v>1</v>
      </c>
      <c r="BC81" t="n">
        <v>0</v>
      </c>
    </row>
    <row r="82">
      <c r="B82" t="inlineStr">
        <is>
          <t>ООО "Полюс Сухой Лог"</t>
        </is>
      </c>
      <c r="C82" t="inlineStr">
        <is>
          <t>Погрузка</t>
        </is>
      </c>
      <c r="D82" t="inlineStr">
        <is>
          <t>Погрузка</t>
        </is>
      </c>
      <c r="E82" t="inlineStr">
        <is>
          <t>OPEX (Укрупненное ТО)</t>
        </is>
      </c>
      <c r="F82" t="inlineStr">
        <is>
          <t>Экскаватор электрический WK-20 №1220</t>
        </is>
      </c>
      <c r="G82" t="inlineStr">
        <is>
          <t>100000133802</t>
        </is>
      </c>
      <c r="H82" t="inlineStr">
        <is>
          <t>1220</t>
        </is>
      </c>
      <c r="I82" t="inlineStr">
        <is>
          <t>Экскаватор электрический WK-20 №1220</t>
        </is>
      </c>
      <c r="J82" t="inlineStr">
        <is>
          <t>06-ATC-EKSK-OOBR-EXCV-EX04</t>
        </is>
      </c>
      <c r="K82" t="inlineStr">
        <is>
          <t>01.03.2024</t>
        </is>
      </c>
      <c r="L82" t="inlineStr">
        <is>
          <t>01.03.2024</t>
        </is>
      </c>
      <c r="M82" t="inlineStr">
        <is>
          <t>30.06.2039</t>
        </is>
      </c>
      <c r="N82" t="inlineStr">
        <is>
          <t>110000023773</t>
        </is>
      </c>
      <c r="O82" t="inlineStr">
        <is>
          <t>110000023773</t>
        </is>
      </c>
      <c r="P82" t="inlineStr">
        <is>
          <t>#</t>
        </is>
      </c>
      <c r="Q82" t="inlineStr">
        <is>
          <t>23.01.2027</t>
        </is>
      </c>
      <c r="R82" t="inlineStr">
        <is>
          <t>23.01.2027</t>
        </is>
      </c>
      <c r="S82" t="inlineStr">
        <is>
          <t>Не присвоено</t>
        </is>
      </c>
      <c r="T82" t="inlineStr">
        <is>
          <t>#</t>
        </is>
      </c>
      <c r="U82" t="inlineStr">
        <is>
          <t>#</t>
        </is>
      </c>
      <c r="V82" t="inlineStr">
        <is>
          <t>#</t>
        </is>
      </c>
      <c r="W82" t="inlineStr">
        <is>
          <t>АТ МАЙНИНГ ООО (абон</t>
        </is>
      </c>
      <c r="X82" t="inlineStr">
        <is>
          <t>APP1</t>
        </is>
      </c>
      <c r="Y82" t="inlineStr">
        <is>
          <t>ТОРО по ППР</t>
        </is>
      </c>
      <c r="Z82" t="inlineStr">
        <is>
          <t>Техническое обслуживание 1</t>
        </is>
      </c>
      <c r="AA82" t="inlineStr">
        <is>
          <t>ТО1</t>
        </is>
      </c>
      <c r="AB82" t="inlineStr">
        <is>
          <t>Парк экскаваторов WK-20</t>
        </is>
      </c>
      <c r="AC82" t="inlineStr">
        <is>
          <t>Парк экскаваторов WK-20</t>
        </is>
      </c>
      <c r="AD82" t="inlineStr">
        <is>
          <t>WK-20</t>
        </is>
      </c>
      <c r="AE82" t="inlineStr">
        <is>
          <t>Канат 13-U-zZ-1860-6х36WS-IWRC</t>
        </is>
      </c>
      <c r="AF82" t="inlineStr">
        <is>
          <t>1411358</t>
        </is>
      </c>
      <c r="AG82" t="inlineStr">
        <is>
          <t>#</t>
        </is>
      </c>
      <c r="AH82" t="inlineStr">
        <is>
          <t>23.01.2027</t>
        </is>
      </c>
      <c r="AI82" t="inlineStr">
        <is>
          <t>#</t>
        </is>
      </c>
      <c r="AJ82" t="inlineStr">
        <is>
          <t>X</t>
        </is>
      </c>
      <c r="AK82" t="inlineStr">
        <is>
          <t>Калькуляц.: 100% релеван.</t>
        </is>
      </c>
      <c r="AL82" t="inlineStr">
        <is>
          <t>#</t>
        </is>
      </c>
      <c r="AM82" t="inlineStr">
        <is>
          <t>Канаты стальные</t>
        </is>
      </c>
      <c r="AN82" t="inlineStr">
        <is>
          <t>2.1.4.3</t>
        </is>
      </c>
      <c r="AO82" t="inlineStr">
        <is>
          <t>#</t>
        </is>
      </c>
      <c r="AP82" t="inlineStr">
        <is>
          <t>#</t>
        </is>
      </c>
      <c r="AQ82" t="inlineStr">
        <is>
          <t>Немедленно</t>
        </is>
      </c>
      <c r="AR82" t="inlineStr">
        <is>
          <t>Не срочная потребнос</t>
        </is>
      </c>
      <c r="AS82" t="inlineStr">
        <is>
          <t>L</t>
        </is>
      </c>
      <c r="AT82" t="inlineStr">
        <is>
          <t>Складская позиция</t>
        </is>
      </c>
      <c r="AU82" t="inlineStr">
        <is>
          <t>АО «Развитие» Иркутс</t>
        </is>
      </c>
      <c r="AV82" t="inlineStr">
        <is>
          <t>7102/100</t>
        </is>
      </c>
      <c r="AW82" t="inlineStr">
        <is>
          <t>Механика</t>
        </is>
      </c>
      <c r="AX82" t="inlineStr">
        <is>
          <t>Taiyuan Heavy Industry</t>
        </is>
      </c>
      <c r="AY82" t="inlineStr">
        <is>
          <t>#</t>
        </is>
      </c>
      <c r="AZ82" t="n">
        <v>10500</v>
      </c>
      <c r="BB82" t="n">
        <v>25</v>
      </c>
      <c r="BC82" t="n">
        <v>0</v>
      </c>
    </row>
    <row r="83">
      <c r="B83" t="inlineStr">
        <is>
          <t>ООО "Полюс Сухой Лог"</t>
        </is>
      </c>
      <c r="C83" t="inlineStr">
        <is>
          <t>Погрузка</t>
        </is>
      </c>
      <c r="D83" t="inlineStr">
        <is>
          <t>Погрузка</t>
        </is>
      </c>
      <c r="E83" t="inlineStr">
        <is>
          <t>OPEX (Укрупненное ТО)</t>
        </is>
      </c>
      <c r="F83" t="inlineStr">
        <is>
          <t>Экскаватор электрический WK-20 №1220</t>
        </is>
      </c>
      <c r="G83" t="inlineStr">
        <is>
          <t>100000133802</t>
        </is>
      </c>
      <c r="H83" t="inlineStr">
        <is>
          <t>1220</t>
        </is>
      </c>
      <c r="I83" t="inlineStr">
        <is>
          <t>Экскаватор электрический WK-20 №1220</t>
        </is>
      </c>
      <c r="J83" t="inlineStr">
        <is>
          <t>06-ATC-EKSK-OOBR-EXCV-EX04</t>
        </is>
      </c>
      <c r="K83" t="inlineStr">
        <is>
          <t>01.03.2024</t>
        </is>
      </c>
      <c r="L83" t="inlineStr">
        <is>
          <t>01.03.2024</t>
        </is>
      </c>
      <c r="M83" t="inlineStr">
        <is>
          <t>30.06.2039</t>
        </is>
      </c>
      <c r="N83" t="inlineStr">
        <is>
          <t>110000023773</t>
        </is>
      </c>
      <c r="O83" t="inlineStr">
        <is>
          <t>110000023773</t>
        </is>
      </c>
      <c r="P83" t="inlineStr">
        <is>
          <t>#</t>
        </is>
      </c>
      <c r="Q83" t="inlineStr">
        <is>
          <t>23.01.2027</t>
        </is>
      </c>
      <c r="R83" t="inlineStr">
        <is>
          <t>23.01.2027</t>
        </is>
      </c>
      <c r="S83" t="inlineStr">
        <is>
          <t>Не присвоено</t>
        </is>
      </c>
      <c r="T83" t="inlineStr">
        <is>
          <t>#</t>
        </is>
      </c>
      <c r="U83" t="inlineStr">
        <is>
          <t>#</t>
        </is>
      </c>
      <c r="V83" t="inlineStr">
        <is>
          <t>#</t>
        </is>
      </c>
      <c r="W83" t="inlineStr">
        <is>
          <t>АТ МАЙНИНГ ООО (абон</t>
        </is>
      </c>
      <c r="X83" t="inlineStr">
        <is>
          <t>APP1</t>
        </is>
      </c>
      <c r="Y83" t="inlineStr">
        <is>
          <t>ТОРО по ППР</t>
        </is>
      </c>
      <c r="Z83" t="inlineStr">
        <is>
          <t>Техническое обслуживание 1</t>
        </is>
      </c>
      <c r="AA83" t="inlineStr">
        <is>
          <t>ТО1</t>
        </is>
      </c>
      <c r="AB83" t="inlineStr">
        <is>
          <t>Парк экскаваторов WK-20</t>
        </is>
      </c>
      <c r="AC83" t="inlineStr">
        <is>
          <t>Парк экскаваторов WK-20</t>
        </is>
      </c>
      <c r="AD83" t="inlineStr">
        <is>
          <t>WK-20</t>
        </is>
      </c>
      <c r="AE83" t="inlineStr">
        <is>
          <t>Смазка Карбофлекс OG 000-1500 HD Лукойл</t>
        </is>
      </c>
      <c r="AF83" t="inlineStr">
        <is>
          <t>985386</t>
        </is>
      </c>
      <c r="AG83" t="inlineStr">
        <is>
          <t>#</t>
        </is>
      </c>
      <c r="AH83" t="inlineStr">
        <is>
          <t>23.01.2027</t>
        </is>
      </c>
      <c r="AI83" t="inlineStr">
        <is>
          <t>#</t>
        </is>
      </c>
      <c r="AJ83" t="inlineStr">
        <is>
          <t>X</t>
        </is>
      </c>
      <c r="AK83" t="inlineStr">
        <is>
          <t>Калькуляц.: 100% релеван.</t>
        </is>
      </c>
      <c r="AL83" t="inlineStr">
        <is>
          <t>#</t>
        </is>
      </c>
      <c r="AM83" t="inlineStr">
        <is>
          <t>Масла, смазки</t>
        </is>
      </c>
      <c r="AN83" t="inlineStr">
        <is>
          <t>2.6.9</t>
        </is>
      </c>
      <c r="AO83" t="inlineStr">
        <is>
          <t>#</t>
        </is>
      </c>
      <c r="AP83" t="inlineStr">
        <is>
          <t>#</t>
        </is>
      </c>
      <c r="AQ83" t="inlineStr">
        <is>
          <t>Немедленно</t>
        </is>
      </c>
      <c r="AR83" t="inlineStr">
        <is>
          <t>Не срочная потребнос</t>
        </is>
      </c>
      <c r="AS83" t="inlineStr">
        <is>
          <t>L</t>
        </is>
      </c>
      <c r="AT83" t="inlineStr">
        <is>
          <t>Складская позиция</t>
        </is>
      </c>
      <c r="AU83" t="inlineStr">
        <is>
          <t>АО «Развитие» Иркутс</t>
        </is>
      </c>
      <c r="AV83" t="inlineStr">
        <is>
          <t>7102/100</t>
        </is>
      </c>
      <c r="AW83" t="inlineStr">
        <is>
          <t>Механика</t>
        </is>
      </c>
      <c r="AX83" t="inlineStr">
        <is>
          <t>Taiyuan Heavy Industry</t>
        </is>
      </c>
      <c r="AY83" t="inlineStr">
        <is>
          <t>Лукойл</t>
        </is>
      </c>
      <c r="AZ83" t="n">
        <v>809217</v>
      </c>
      <c r="BB83" t="n">
        <v>450</v>
      </c>
      <c r="BC83" t="n">
        <v>0</v>
      </c>
    </row>
    <row r="84">
      <c r="B84" t="inlineStr">
        <is>
          <t>ООО "Полюс Сухой Лог"</t>
        </is>
      </c>
      <c r="C84" t="inlineStr">
        <is>
          <t>Погрузка</t>
        </is>
      </c>
      <c r="D84" t="inlineStr">
        <is>
          <t>Погрузка</t>
        </is>
      </c>
      <c r="E84" t="inlineStr">
        <is>
          <t>OPEX (Укрупненное ТО)</t>
        </is>
      </c>
      <c r="F84" t="inlineStr">
        <is>
          <t>Экскаватор электрический WK-20 №1220</t>
        </is>
      </c>
      <c r="G84" t="inlineStr">
        <is>
          <t>100000133802</t>
        </is>
      </c>
      <c r="H84" t="inlineStr">
        <is>
          <t>1220</t>
        </is>
      </c>
      <c r="I84" t="inlineStr">
        <is>
          <t>Экскаватор электрический WK-20 №1220</t>
        </is>
      </c>
      <c r="J84" t="inlineStr">
        <is>
          <t>06-ATC-EKSK-OOBR-EXCV-EX04</t>
        </is>
      </c>
      <c r="K84" t="inlineStr">
        <is>
          <t>01.03.2024</t>
        </is>
      </c>
      <c r="L84" t="inlineStr">
        <is>
          <t>01.03.2024</t>
        </is>
      </c>
      <c r="M84" t="inlineStr">
        <is>
          <t>30.06.2039</t>
        </is>
      </c>
      <c r="N84" t="inlineStr">
        <is>
          <t>110000023773</t>
        </is>
      </c>
      <c r="O84" t="inlineStr">
        <is>
          <t>110000023773</t>
        </is>
      </c>
      <c r="P84" t="inlineStr">
        <is>
          <t>#</t>
        </is>
      </c>
      <c r="Q84" t="inlineStr">
        <is>
          <t>23.01.2027</t>
        </is>
      </c>
      <c r="R84" t="inlineStr">
        <is>
          <t>23.01.2027</t>
        </is>
      </c>
      <c r="S84" t="inlineStr">
        <is>
          <t>Не присвоено</t>
        </is>
      </c>
      <c r="T84" t="inlineStr">
        <is>
          <t>#</t>
        </is>
      </c>
      <c r="U84" t="inlineStr">
        <is>
          <t>#</t>
        </is>
      </c>
      <c r="V84" t="inlineStr">
        <is>
          <t>#</t>
        </is>
      </c>
      <c r="W84" t="inlineStr">
        <is>
          <t>АТ МАЙНИНГ ООО (абон</t>
        </is>
      </c>
      <c r="X84" t="inlineStr">
        <is>
          <t>APP1</t>
        </is>
      </c>
      <c r="Y84" t="inlineStr">
        <is>
          <t>ТОРО по ППР</t>
        </is>
      </c>
      <c r="Z84" t="inlineStr">
        <is>
          <t>Техническое обслуживание 1</t>
        </is>
      </c>
      <c r="AA84" t="inlineStr">
        <is>
          <t>ТО1</t>
        </is>
      </c>
      <c r="AB84" t="inlineStr">
        <is>
          <t>Парк экскаваторов WK-20</t>
        </is>
      </c>
      <c r="AC84" t="inlineStr">
        <is>
          <t>Парк экскаваторов WK-20</t>
        </is>
      </c>
      <c r="AD84" t="inlineStr">
        <is>
          <t>WK-20</t>
        </is>
      </c>
      <c r="AE84" t="inlineStr">
        <is>
          <t>Смазка Синтофлекс Арктик 1-100 HD Лукойл</t>
        </is>
      </c>
      <c r="AF84" t="inlineStr">
        <is>
          <t>1248033</t>
        </is>
      </c>
      <c r="AG84" t="inlineStr">
        <is>
          <t>#</t>
        </is>
      </c>
      <c r="AH84" t="inlineStr">
        <is>
          <t>23.01.2027</t>
        </is>
      </c>
      <c r="AI84" t="inlineStr">
        <is>
          <t>#</t>
        </is>
      </c>
      <c r="AJ84" t="inlineStr">
        <is>
          <t>X</t>
        </is>
      </c>
      <c r="AK84" t="inlineStr">
        <is>
          <t>Калькуляц.: 100% релеван.</t>
        </is>
      </c>
      <c r="AL84" t="inlineStr">
        <is>
          <t>#</t>
        </is>
      </c>
      <c r="AM84" t="inlineStr">
        <is>
          <t>Масла, смазки</t>
        </is>
      </c>
      <c r="AN84" t="inlineStr">
        <is>
          <t>2.6.9</t>
        </is>
      </c>
      <c r="AO84" t="inlineStr">
        <is>
          <t>#</t>
        </is>
      </c>
      <c r="AP84" t="inlineStr">
        <is>
          <t>#</t>
        </is>
      </c>
      <c r="AQ84" t="inlineStr">
        <is>
          <t>Немедленно</t>
        </is>
      </c>
      <c r="AR84" t="inlineStr">
        <is>
          <t>Не срочная потребнос</t>
        </is>
      </c>
      <c r="AS84" t="inlineStr">
        <is>
          <t>L</t>
        </is>
      </c>
      <c r="AT84" t="inlineStr">
        <is>
          <t>Складская позиция</t>
        </is>
      </c>
      <c r="AU84" t="inlineStr">
        <is>
          <t>АО «Развитие» Иркутс</t>
        </is>
      </c>
      <c r="AV84" t="inlineStr">
        <is>
          <t>7102/100</t>
        </is>
      </c>
      <c r="AW84" t="inlineStr">
        <is>
          <t>Механика</t>
        </is>
      </c>
      <c r="AX84" t="inlineStr">
        <is>
          <t>Taiyuan Heavy Industry</t>
        </is>
      </c>
      <c r="AY84" t="inlineStr">
        <is>
          <t>Лукойл</t>
        </is>
      </c>
      <c r="AZ84" t="n">
        <v>728295.3</v>
      </c>
      <c r="BB84" t="n">
        <v>405</v>
      </c>
      <c r="BC84" t="n">
        <v>0</v>
      </c>
    </row>
    <row r="85">
      <c r="B85" t="inlineStr">
        <is>
          <t>ООО "Полюс Сухой Лог"</t>
        </is>
      </c>
      <c r="C85" t="inlineStr">
        <is>
          <t>Погрузка</t>
        </is>
      </c>
      <c r="D85" t="inlineStr">
        <is>
          <t>Погрузка</t>
        </is>
      </c>
      <c r="E85" t="inlineStr">
        <is>
          <t>OPEX (Укрупненное ТО)</t>
        </is>
      </c>
      <c r="F85" t="inlineStr">
        <is>
          <t>Экскаватор электрический WK-20 №1220</t>
        </is>
      </c>
      <c r="G85" t="inlineStr">
        <is>
          <t>100000133802</t>
        </is>
      </c>
      <c r="H85" t="inlineStr">
        <is>
          <t>1220</t>
        </is>
      </c>
      <c r="I85" t="inlineStr">
        <is>
          <t>Экскаватор электрический WK-20 №1220</t>
        </is>
      </c>
      <c r="J85" t="inlineStr">
        <is>
          <t>06-ATC-EKSK-OOBR-EXCV-EX04</t>
        </is>
      </c>
      <c r="K85" t="inlineStr">
        <is>
          <t>01.03.2024</t>
        </is>
      </c>
      <c r="L85" t="inlineStr">
        <is>
          <t>01.03.2024</t>
        </is>
      </c>
      <c r="M85" t="inlineStr">
        <is>
          <t>30.06.2039</t>
        </is>
      </c>
      <c r="N85" t="inlineStr">
        <is>
          <t>110000023773</t>
        </is>
      </c>
      <c r="O85" t="inlineStr">
        <is>
          <t>110000023773</t>
        </is>
      </c>
      <c r="P85" t="inlineStr">
        <is>
          <t>#</t>
        </is>
      </c>
      <c r="Q85" t="inlineStr">
        <is>
          <t>23.01.2027</t>
        </is>
      </c>
      <c r="R85" t="inlineStr">
        <is>
          <t>23.01.2027</t>
        </is>
      </c>
      <c r="S85" t="inlineStr">
        <is>
          <t>Не присвоено</t>
        </is>
      </c>
      <c r="T85" t="inlineStr">
        <is>
          <t>#</t>
        </is>
      </c>
      <c r="U85" t="inlineStr">
        <is>
          <t>#</t>
        </is>
      </c>
      <c r="V85" t="inlineStr">
        <is>
          <t>#</t>
        </is>
      </c>
      <c r="W85" t="inlineStr">
        <is>
          <t>АТ МАЙНИНГ ООО (абон</t>
        </is>
      </c>
      <c r="X85" t="inlineStr">
        <is>
          <t>APP1</t>
        </is>
      </c>
      <c r="Y85" t="inlineStr">
        <is>
          <t>ТОРО по ППР</t>
        </is>
      </c>
      <c r="Z85" t="inlineStr">
        <is>
          <t>Техническое обслуживание 1</t>
        </is>
      </c>
      <c r="AA85" t="inlineStr">
        <is>
          <t>ТО1</t>
        </is>
      </c>
      <c r="AB85" t="inlineStr">
        <is>
          <t>Парк экскаваторов WK-20</t>
        </is>
      </c>
      <c r="AC85" t="inlineStr">
        <is>
          <t>Парк экскаваторов WK-20</t>
        </is>
      </c>
      <c r="AD85" t="inlineStr">
        <is>
          <t>WK-20</t>
        </is>
      </c>
      <c r="AE85" t="inlineStr">
        <is>
          <t>Не присвоено</t>
        </is>
      </c>
      <c r="AF85" t="inlineStr">
        <is>
          <t>#</t>
        </is>
      </c>
      <c r="AG85" t="inlineStr">
        <is>
          <t>#</t>
        </is>
      </c>
      <c r="AH85" t="inlineStr">
        <is>
          <t>#</t>
        </is>
      </c>
      <c r="AI85" t="inlineStr">
        <is>
          <t>#</t>
        </is>
      </c>
      <c r="AJ85" t="inlineStr">
        <is>
          <t>#</t>
        </is>
      </c>
      <c r="AK85" t="inlineStr">
        <is>
          <t>Калькуляц.: не релевантно</t>
        </is>
      </c>
      <c r="AL85" t="inlineStr">
        <is>
          <t>#</t>
        </is>
      </c>
      <c r="AM85" t="inlineStr">
        <is>
          <t>Не присвоено</t>
        </is>
      </c>
      <c r="AN85" t="inlineStr">
        <is>
          <t>#</t>
        </is>
      </c>
      <c r="AO85" t="inlineStr">
        <is>
          <t>#</t>
        </is>
      </c>
      <c r="AP85" t="inlineStr">
        <is>
          <t>#</t>
        </is>
      </c>
      <c r="AQ85" t="inlineStr">
        <is>
          <t>Немедленно</t>
        </is>
      </c>
      <c r="AR85" t="inlineStr">
        <is>
          <t>Не срочная потребнос</t>
        </is>
      </c>
      <c r="AS85" t="inlineStr">
        <is>
          <t>#</t>
        </is>
      </c>
      <c r="AT85" t="inlineStr">
        <is>
          <t>Не присвоено</t>
        </is>
      </c>
      <c r="AU85" t="inlineStr">
        <is>
          <t>АО «Развитие» Иркутс</t>
        </is>
      </c>
      <c r="AV85" t="inlineStr">
        <is>
          <t>7102/100</t>
        </is>
      </c>
      <c r="AW85" t="inlineStr">
        <is>
          <t>Механика</t>
        </is>
      </c>
      <c r="AX85" t="inlineStr">
        <is>
          <t>Taiyuan Heavy Industry</t>
        </is>
      </c>
      <c r="AY85" t="inlineStr">
        <is>
          <t>#</t>
        </is>
      </c>
      <c r="AZ85" t="n">
        <v>0</v>
      </c>
      <c r="BC85" t="n">
        <v>39.19</v>
      </c>
    </row>
    <row r="86">
      <c r="B86" t="inlineStr">
        <is>
          <t>ООО "Полюс Сухой Лог"</t>
        </is>
      </c>
      <c r="C86" t="inlineStr">
        <is>
          <t>Погрузка</t>
        </is>
      </c>
      <c r="D86" t="inlineStr">
        <is>
          <t>Погрузка</t>
        </is>
      </c>
      <c r="E86" t="inlineStr">
        <is>
          <t>OPEX УПА (CAPEX Рудных БЕ)</t>
        </is>
      </c>
      <c r="F86" t="inlineStr">
        <is>
          <t>Экскаватор электрический WK-20 №1220</t>
        </is>
      </c>
      <c r="G86" t="inlineStr">
        <is>
          <t>100000133802</t>
        </is>
      </c>
      <c r="H86" t="inlineStr">
        <is>
          <t>1220</t>
        </is>
      </c>
      <c r="I86" t="inlineStr">
        <is>
          <t>Экскаватор электрический WK-20 №1220</t>
        </is>
      </c>
      <c r="J86" t="inlineStr">
        <is>
          <t>06-ATC-EKSK-OOBR-EXCV-EX04</t>
        </is>
      </c>
      <c r="K86" t="inlineStr">
        <is>
          <t>01.03.2024</t>
        </is>
      </c>
      <c r="L86" t="inlineStr">
        <is>
          <t>01.03.2024</t>
        </is>
      </c>
      <c r="M86" t="inlineStr">
        <is>
          <t>30.06.2039</t>
        </is>
      </c>
      <c r="N86" t="inlineStr">
        <is>
          <t>1102277367</t>
        </is>
      </c>
      <c r="O86" t="inlineStr">
        <is>
          <t>ТР ЦСС</t>
        </is>
      </c>
      <c r="P86" t="inlineStr">
        <is>
          <t>#</t>
        </is>
      </c>
      <c r="Q86" t="inlineStr">
        <is>
          <t>20.03.2027</t>
        </is>
      </c>
      <c r="R86" t="inlineStr">
        <is>
          <t>21.03.2027</t>
        </is>
      </c>
      <c r="S86" t="inlineStr">
        <is>
          <t>Хоз.способ</t>
        </is>
      </c>
      <c r="T86" t="inlineStr">
        <is>
          <t>XS</t>
        </is>
      </c>
      <c r="U86" t="inlineStr">
        <is>
          <t>ОШОЗ  ДМНП  ОТКР  ПКАЛ  ОБСЗ</t>
        </is>
      </c>
      <c r="V86" t="inlineStr">
        <is>
          <t>ТОПЗ  ПТОГ  СГГС  ГОД  СРОЧ  МТРЦ  НВСО  КРМТ</t>
        </is>
      </c>
      <c r="W86" t="inlineStr">
        <is>
          <t>Участок по ТОиР ТТ б</t>
        </is>
      </c>
      <c r="X86" t="inlineStr">
        <is>
          <t>APP1</t>
        </is>
      </c>
      <c r="Y86" t="inlineStr">
        <is>
          <t>ТОРО по ППР</t>
        </is>
      </c>
      <c r="Z86" t="inlineStr">
        <is>
          <t>Текущий ремонт</t>
        </is>
      </c>
      <c r="AA86" t="inlineStr">
        <is>
          <t>ТР</t>
        </is>
      </c>
      <c r="AB86" t="inlineStr">
        <is>
          <t>Парк экскаваторов WK-20</t>
        </is>
      </c>
      <c r="AC86" t="inlineStr">
        <is>
          <t>Парк экскаваторов WK-20</t>
        </is>
      </c>
      <c r="AD86" t="inlineStr">
        <is>
          <t>WK-20</t>
        </is>
      </c>
      <c r="AE86" t="inlineStr">
        <is>
          <t>Клап.гидр.DR460A TZ</t>
        </is>
      </c>
      <c r="AF86" t="inlineStr">
        <is>
          <t>869414</t>
        </is>
      </c>
      <c r="AG86" t="inlineStr">
        <is>
          <t>DR460A</t>
        </is>
      </c>
      <c r="AH86" t="inlineStr">
        <is>
          <t>20.03.2027</t>
        </is>
      </c>
      <c r="AI86" t="inlineStr">
        <is>
          <t>#</t>
        </is>
      </c>
      <c r="AJ86" t="inlineStr">
        <is>
          <t>X</t>
        </is>
      </c>
      <c r="AK86" t="inlineStr">
        <is>
          <t>Калькуляц.: 100% релеван.</t>
        </is>
      </c>
      <c r="AL86" t="inlineStr">
        <is>
          <t>12.08.2026</t>
        </is>
      </c>
      <c r="AM86" t="inlineStr">
        <is>
          <t>Зап. к экск. WK</t>
        </is>
      </c>
      <c r="AN86" t="inlineStr">
        <is>
          <t>3.1.2.7</t>
        </is>
      </c>
      <c r="AO86" t="inlineStr">
        <is>
          <t>3H2</t>
        </is>
      </c>
      <c r="AP86" t="inlineStr">
        <is>
          <t>Серавкин Д.В.</t>
        </is>
      </c>
      <c r="AQ86" t="inlineStr">
        <is>
          <t>Начиная с деблокир.</t>
        </is>
      </c>
      <c r="AR86" t="inlineStr">
        <is>
          <t>Срочная потребность</t>
        </is>
      </c>
      <c r="AS86" t="inlineStr">
        <is>
          <t>L</t>
        </is>
      </c>
      <c r="AT86" t="inlineStr">
        <is>
          <t>Складская позиция</t>
        </is>
      </c>
      <c r="AU86" t="inlineStr">
        <is>
          <t>АО «Развитие» Иркутс</t>
        </is>
      </c>
      <c r="AV86" t="inlineStr">
        <is>
          <t>7102/100</t>
        </is>
      </c>
      <c r="AW86" t="inlineStr">
        <is>
          <t>Механика</t>
        </is>
      </c>
      <c r="AX86" t="inlineStr">
        <is>
          <t>Taiyuan Heavy Industry</t>
        </is>
      </c>
      <c r="AY86" t="inlineStr">
        <is>
          <t>TZ</t>
        </is>
      </c>
      <c r="AZ86" t="n">
        <v>1973962.05</v>
      </c>
      <c r="BA86" t="n">
        <v>394792.41</v>
      </c>
      <c r="BB86" t="n">
        <v>5</v>
      </c>
      <c r="BC86" t="n">
        <v>0</v>
      </c>
      <c r="BD86" t="n">
        <v>0</v>
      </c>
      <c r="BF86" t="n">
        <v>0</v>
      </c>
      <c r="BG86" t="n">
        <v>0</v>
      </c>
      <c r="BH86" t="n">
        <v>0</v>
      </c>
    </row>
    <row r="87">
      <c r="B87" t="inlineStr">
        <is>
          <t>ООО "Полюс Сухой Лог"</t>
        </is>
      </c>
      <c r="C87" t="inlineStr">
        <is>
          <t>Погрузка</t>
        </is>
      </c>
      <c r="D87" t="inlineStr">
        <is>
          <t>Погрузка</t>
        </is>
      </c>
      <c r="E87" t="inlineStr">
        <is>
          <t>OPEX УПА (CAPEX Рудных БЕ)</t>
        </is>
      </c>
      <c r="F87" t="inlineStr">
        <is>
          <t>Экскаватор электрический WK-20 №1220</t>
        </is>
      </c>
      <c r="G87" t="inlineStr">
        <is>
          <t>100000133802</t>
        </is>
      </c>
      <c r="H87" t="inlineStr">
        <is>
          <t>1220</t>
        </is>
      </c>
      <c r="I87" t="inlineStr">
        <is>
          <t>Экскаватор электрический WK-20 №1220</t>
        </is>
      </c>
      <c r="J87" t="inlineStr">
        <is>
          <t>06-ATC-EKSK-OOBR-EXCV-EX04</t>
        </is>
      </c>
      <c r="K87" t="inlineStr">
        <is>
          <t>01.03.2024</t>
        </is>
      </c>
      <c r="L87" t="inlineStr">
        <is>
          <t>01.03.2024</t>
        </is>
      </c>
      <c r="M87" t="inlineStr">
        <is>
          <t>30.06.2039</t>
        </is>
      </c>
      <c r="N87" t="inlineStr">
        <is>
          <t>1102277367</t>
        </is>
      </c>
      <c r="O87" t="inlineStr">
        <is>
          <t>ТР ЦСС</t>
        </is>
      </c>
      <c r="P87" t="inlineStr">
        <is>
          <t>#</t>
        </is>
      </c>
      <c r="Q87" t="inlineStr">
        <is>
          <t>20.03.2027</t>
        </is>
      </c>
      <c r="R87" t="inlineStr">
        <is>
          <t>21.03.2027</t>
        </is>
      </c>
      <c r="S87" t="inlineStr">
        <is>
          <t>Хоз.способ</t>
        </is>
      </c>
      <c r="T87" t="inlineStr">
        <is>
          <t>XS</t>
        </is>
      </c>
      <c r="U87" t="inlineStr">
        <is>
          <t>ОШОЗ  ДМНП  ОТКР  ПКАЛ  ОБСЗ</t>
        </is>
      </c>
      <c r="V87" t="inlineStr">
        <is>
          <t>ТОПЗ  ПТОГ  СГГС  ГОД  СРОЧ  МТРЦ  НВСО  КРМТ</t>
        </is>
      </c>
      <c r="W87" t="inlineStr">
        <is>
          <t>Участок по ТОиР ТТ б</t>
        </is>
      </c>
      <c r="X87" t="inlineStr">
        <is>
          <t>APP1</t>
        </is>
      </c>
      <c r="Y87" t="inlineStr">
        <is>
          <t>ТОРО по ППР</t>
        </is>
      </c>
      <c r="Z87" t="inlineStr">
        <is>
          <t>Текущий ремонт</t>
        </is>
      </c>
      <c r="AA87" t="inlineStr">
        <is>
          <t>ТР</t>
        </is>
      </c>
      <c r="AB87" t="inlineStr">
        <is>
          <t>Парк экскаваторов WK-20</t>
        </is>
      </c>
      <c r="AC87" t="inlineStr">
        <is>
          <t>Парк экскаваторов WK-20</t>
        </is>
      </c>
      <c r="AD87" t="inlineStr">
        <is>
          <t>WK-20</t>
        </is>
      </c>
      <c r="AE87" t="inlineStr">
        <is>
          <t>Клап.гидр.DR460B TZ</t>
        </is>
      </c>
      <c r="AF87" t="inlineStr">
        <is>
          <t>869415</t>
        </is>
      </c>
      <c r="AG87" t="inlineStr">
        <is>
          <t>DR460B</t>
        </is>
      </c>
      <c r="AH87" t="inlineStr">
        <is>
          <t>20.03.2027</t>
        </is>
      </c>
      <c r="AI87" t="inlineStr">
        <is>
          <t>#</t>
        </is>
      </c>
      <c r="AJ87" t="inlineStr">
        <is>
          <t>X</t>
        </is>
      </c>
      <c r="AK87" t="inlineStr">
        <is>
          <t>Калькуляц.: 100% релеван.</t>
        </is>
      </c>
      <c r="AL87" t="inlineStr">
        <is>
          <t>12.08.2026</t>
        </is>
      </c>
      <c r="AM87" t="inlineStr">
        <is>
          <t>Зап. к экск. WK</t>
        </is>
      </c>
      <c r="AN87" t="inlineStr">
        <is>
          <t>3.1.2.7</t>
        </is>
      </c>
      <c r="AO87" t="inlineStr">
        <is>
          <t>3H2</t>
        </is>
      </c>
      <c r="AP87" t="inlineStr">
        <is>
          <t>Серавкин Д.В.</t>
        </is>
      </c>
      <c r="AQ87" t="inlineStr">
        <is>
          <t>Начиная с деблокир.</t>
        </is>
      </c>
      <c r="AR87" t="inlineStr">
        <is>
          <t>Срочная потребность</t>
        </is>
      </c>
      <c r="AS87" t="inlineStr">
        <is>
          <t>L</t>
        </is>
      </c>
      <c r="AT87" t="inlineStr">
        <is>
          <t>Складская позиция</t>
        </is>
      </c>
      <c r="AU87" t="inlineStr">
        <is>
          <t>АО «Развитие» Иркутс</t>
        </is>
      </c>
      <c r="AV87" t="inlineStr">
        <is>
          <t>7102/100</t>
        </is>
      </c>
      <c r="AW87" t="inlineStr">
        <is>
          <t>Механика</t>
        </is>
      </c>
      <c r="AX87" t="inlineStr">
        <is>
          <t>Taiyuan Heavy Industry</t>
        </is>
      </c>
      <c r="AY87" t="inlineStr">
        <is>
          <t>TZ</t>
        </is>
      </c>
      <c r="AZ87" t="n">
        <v>2210968.05</v>
      </c>
      <c r="BA87" t="n">
        <v>442193.61</v>
      </c>
      <c r="BB87" t="n">
        <v>5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</row>
    <row r="88">
      <c r="B88" t="inlineStr">
        <is>
          <t>ООО "Полюс Сухой Лог"</t>
        </is>
      </c>
      <c r="C88" t="inlineStr">
        <is>
          <t>Погрузка</t>
        </is>
      </c>
      <c r="D88" t="inlineStr">
        <is>
          <t>Погрузка</t>
        </is>
      </c>
      <c r="E88" t="inlineStr">
        <is>
          <t>OPEX УПА (CAPEX Рудных БЕ)</t>
        </is>
      </c>
      <c r="F88" t="inlineStr">
        <is>
          <t>Экскаватор электрический WK-20 №1220</t>
        </is>
      </c>
      <c r="G88" t="inlineStr">
        <is>
          <t>100000133802</t>
        </is>
      </c>
      <c r="H88" t="inlineStr">
        <is>
          <t>1220</t>
        </is>
      </c>
      <c r="I88" t="inlineStr">
        <is>
          <t>Экскаватор электрический WK-20 №1220</t>
        </is>
      </c>
      <c r="J88" t="inlineStr">
        <is>
          <t>06-ATC-EKSK-OOBR-EXCV-EX04</t>
        </is>
      </c>
      <c r="K88" t="inlineStr">
        <is>
          <t>01.03.2024</t>
        </is>
      </c>
      <c r="L88" t="inlineStr">
        <is>
          <t>01.03.2024</t>
        </is>
      </c>
      <c r="M88" t="inlineStr">
        <is>
          <t>30.06.2039</t>
        </is>
      </c>
      <c r="N88" t="inlineStr">
        <is>
          <t>1102277367</t>
        </is>
      </c>
      <c r="O88" t="inlineStr">
        <is>
          <t>ТР ЦСС</t>
        </is>
      </c>
      <c r="P88" t="inlineStr">
        <is>
          <t>#</t>
        </is>
      </c>
      <c r="Q88" t="inlineStr">
        <is>
          <t>20.03.2027</t>
        </is>
      </c>
      <c r="R88" t="inlineStr">
        <is>
          <t>21.03.2027</t>
        </is>
      </c>
      <c r="S88" t="inlineStr">
        <is>
          <t>Хоз.способ</t>
        </is>
      </c>
      <c r="T88" t="inlineStr">
        <is>
          <t>XS</t>
        </is>
      </c>
      <c r="U88" t="inlineStr">
        <is>
          <t>ОШОЗ  ДМНП  ОТКР  ПКАЛ  ОБСЗ</t>
        </is>
      </c>
      <c r="V88" t="inlineStr">
        <is>
          <t>ТОПЗ  ПТОГ  СГГС  ГОД  СРОЧ  МТРЦ  НВСО  КРМТ</t>
        </is>
      </c>
      <c r="W88" t="inlineStr">
        <is>
          <t>Участок по ТОиР ТТ б</t>
        </is>
      </c>
      <c r="X88" t="inlineStr">
        <is>
          <t>APP1</t>
        </is>
      </c>
      <c r="Y88" t="inlineStr">
        <is>
          <t>ТОРО по ППР</t>
        </is>
      </c>
      <c r="Z88" t="inlineStr">
        <is>
          <t>Текущий ремонт</t>
        </is>
      </c>
      <c r="AA88" t="inlineStr">
        <is>
          <t>ТР</t>
        </is>
      </c>
      <c r="AB88" t="inlineStr">
        <is>
          <t>Парк экскаваторов WK-20</t>
        </is>
      </c>
      <c r="AC88" t="inlineStr">
        <is>
          <t>Парк экскаваторов WK-20</t>
        </is>
      </c>
      <c r="AD88" t="inlineStr">
        <is>
          <t>WK-20</t>
        </is>
      </c>
      <c r="AE88" t="inlineStr">
        <is>
          <t>Клап.продувной СБ SDU04A00H00 TZ</t>
        </is>
      </c>
      <c r="AF88" t="inlineStr">
        <is>
          <t>869417</t>
        </is>
      </c>
      <c r="AG88" t="inlineStr">
        <is>
          <t>SDU04A00H00</t>
        </is>
      </c>
      <c r="AH88" t="inlineStr">
        <is>
          <t>20.03.2027</t>
        </is>
      </c>
      <c r="AI88" t="inlineStr">
        <is>
          <t>#</t>
        </is>
      </c>
      <c r="AJ88" t="inlineStr">
        <is>
          <t>X</t>
        </is>
      </c>
      <c r="AK88" t="inlineStr">
        <is>
          <t>Калькуляц.: 100% релеван.</t>
        </is>
      </c>
      <c r="AL88" t="inlineStr">
        <is>
          <t>12.08.2026</t>
        </is>
      </c>
      <c r="AM88" t="inlineStr">
        <is>
          <t>Зап. к экск. WK</t>
        </is>
      </c>
      <c r="AN88" t="inlineStr">
        <is>
          <t>3.1.2.7</t>
        </is>
      </c>
      <c r="AO88" t="inlineStr">
        <is>
          <t>3H2</t>
        </is>
      </c>
      <c r="AP88" t="inlineStr">
        <is>
          <t>Серавкин Д.В.</t>
        </is>
      </c>
      <c r="AQ88" t="inlineStr">
        <is>
          <t>Начиная с деблокир.</t>
        </is>
      </c>
      <c r="AR88" t="inlineStr">
        <is>
          <t>Срочная потребность</t>
        </is>
      </c>
      <c r="AS88" t="inlineStr">
        <is>
          <t>L</t>
        </is>
      </c>
      <c r="AT88" t="inlineStr">
        <is>
          <t>Складская позиция</t>
        </is>
      </c>
      <c r="AU88" t="inlineStr">
        <is>
          <t>АО «Развитие» Иркутс</t>
        </is>
      </c>
      <c r="AV88" t="inlineStr">
        <is>
          <t>7102/100</t>
        </is>
      </c>
      <c r="AW88" t="inlineStr">
        <is>
          <t>Механика</t>
        </is>
      </c>
      <c r="AX88" t="inlineStr">
        <is>
          <t>Taiyuan Heavy Industry</t>
        </is>
      </c>
      <c r="AY88" t="inlineStr">
        <is>
          <t>TZ</t>
        </is>
      </c>
      <c r="AZ88" t="n">
        <v>3179712.36</v>
      </c>
      <c r="BA88" t="n">
        <v>264976.03</v>
      </c>
      <c r="BB88" t="n">
        <v>12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</row>
    <row r="89">
      <c r="B89" t="inlineStr">
        <is>
          <t>ООО "Полюс Сухой Лог"</t>
        </is>
      </c>
      <c r="C89" t="inlineStr">
        <is>
          <t>Погрузка</t>
        </is>
      </c>
      <c r="D89" t="inlineStr">
        <is>
          <t>Погрузка</t>
        </is>
      </c>
      <c r="E89" t="inlineStr">
        <is>
          <t>OPEX УПА (CAPEX Рудных БЕ)</t>
        </is>
      </c>
      <c r="F89" t="inlineStr">
        <is>
          <t>Экскаватор электрический WK-20 №1220</t>
        </is>
      </c>
      <c r="G89" t="inlineStr">
        <is>
          <t>100000133802</t>
        </is>
      </c>
      <c r="H89" t="inlineStr">
        <is>
          <t>1220</t>
        </is>
      </c>
      <c r="I89" t="inlineStr">
        <is>
          <t>Экскаватор электрический WK-20 №1220</t>
        </is>
      </c>
      <c r="J89" t="inlineStr">
        <is>
          <t>06-ATC-EKSK-OOBR-EXCV-EX04</t>
        </is>
      </c>
      <c r="K89" t="inlineStr">
        <is>
          <t>01.03.2024</t>
        </is>
      </c>
      <c r="L89" t="inlineStr">
        <is>
          <t>01.03.2024</t>
        </is>
      </c>
      <c r="M89" t="inlineStr">
        <is>
          <t>30.06.2039</t>
        </is>
      </c>
      <c r="N89" t="inlineStr">
        <is>
          <t>1102277367</t>
        </is>
      </c>
      <c r="O89" t="inlineStr">
        <is>
          <t>ТР ЦСС</t>
        </is>
      </c>
      <c r="P89" t="inlineStr">
        <is>
          <t>#</t>
        </is>
      </c>
      <c r="Q89" t="inlineStr">
        <is>
          <t>20.03.2027</t>
        </is>
      </c>
      <c r="R89" t="inlineStr">
        <is>
          <t>21.03.2027</t>
        </is>
      </c>
      <c r="S89" t="inlineStr">
        <is>
          <t>Хоз.способ</t>
        </is>
      </c>
      <c r="T89" t="inlineStr">
        <is>
          <t>XS</t>
        </is>
      </c>
      <c r="U89" t="inlineStr">
        <is>
          <t>ОШОЗ  ДМНП  ОТКР  ПКАЛ  ОБСЗ</t>
        </is>
      </c>
      <c r="V89" t="inlineStr">
        <is>
          <t>ТОПЗ  ПТОГ  СГГС  ГОД  СРОЧ  МТРЦ  НВСО  КРМТ</t>
        </is>
      </c>
      <c r="W89" t="inlineStr">
        <is>
          <t>Участок по ТОиР ТТ б</t>
        </is>
      </c>
      <c r="X89" t="inlineStr">
        <is>
          <t>APP1</t>
        </is>
      </c>
      <c r="Y89" t="inlineStr">
        <is>
          <t>ТОРО по ППР</t>
        </is>
      </c>
      <c r="Z89" t="inlineStr">
        <is>
          <t>Текущий ремонт</t>
        </is>
      </c>
      <c r="AA89" t="inlineStr">
        <is>
          <t>ТР</t>
        </is>
      </c>
      <c r="AB89" t="inlineStr">
        <is>
          <t>Парк экскаваторов WK-20</t>
        </is>
      </c>
      <c r="AC89" t="inlineStr">
        <is>
          <t>Парк экскаваторов WK-20</t>
        </is>
      </c>
      <c r="AD89" t="inlineStr">
        <is>
          <t>WK-20</t>
        </is>
      </c>
      <c r="AE89" t="inlineStr">
        <is>
          <t>Насос пневм.1904 TZ</t>
        </is>
      </c>
      <c r="AF89" t="inlineStr">
        <is>
          <t>976494</t>
        </is>
      </c>
      <c r="AG89" t="inlineStr">
        <is>
          <t>1904</t>
        </is>
      </c>
      <c r="AH89" t="inlineStr">
        <is>
          <t>20.03.2027</t>
        </is>
      </c>
      <c r="AI89" t="inlineStr">
        <is>
          <t>#</t>
        </is>
      </c>
      <c r="AJ89" t="inlineStr">
        <is>
          <t>X</t>
        </is>
      </c>
      <c r="AK89" t="inlineStr">
        <is>
          <t>Калькуляц.: 100% релеван.</t>
        </is>
      </c>
      <c r="AL89" t="inlineStr">
        <is>
          <t>02.07.2026</t>
        </is>
      </c>
      <c r="AM89" t="inlineStr">
        <is>
          <t>Зап. к экск. WK</t>
        </is>
      </c>
      <c r="AN89" t="inlineStr">
        <is>
          <t>3.1.2.7</t>
        </is>
      </c>
      <c r="AO89" t="inlineStr">
        <is>
          <t>3H2</t>
        </is>
      </c>
      <c r="AP89" t="inlineStr">
        <is>
          <t>Серавкин Д.В.</t>
        </is>
      </c>
      <c r="AQ89" t="inlineStr">
        <is>
          <t>Начиная с деблокир.</t>
        </is>
      </c>
      <c r="AR89" t="inlineStr">
        <is>
          <t>Срочная потребность</t>
        </is>
      </c>
      <c r="AS89" t="inlineStr">
        <is>
          <t>L</t>
        </is>
      </c>
      <c r="AT89" t="inlineStr">
        <is>
          <t>Складская позиция</t>
        </is>
      </c>
      <c r="AU89" t="inlineStr">
        <is>
          <t>АО «Развитие» Иркутс</t>
        </is>
      </c>
      <c r="AV89" t="inlineStr">
        <is>
          <t>7102/100</t>
        </is>
      </c>
      <c r="AW89" t="inlineStr">
        <is>
          <t>Механика</t>
        </is>
      </c>
      <c r="AX89" t="inlineStr">
        <is>
          <t>Taiyuan Heavy Industry</t>
        </is>
      </c>
      <c r="AY89" t="inlineStr">
        <is>
          <t>TZ</t>
        </is>
      </c>
      <c r="AZ89" t="n">
        <v>2423222.76</v>
      </c>
      <c r="BA89" t="n">
        <v>807740.92</v>
      </c>
      <c r="BB89" t="n">
        <v>3</v>
      </c>
      <c r="BC89" t="n">
        <v>0</v>
      </c>
      <c r="BD89" t="n">
        <v>0</v>
      </c>
      <c r="BF89" t="n">
        <v>0</v>
      </c>
      <c r="BG89" t="n">
        <v>0</v>
      </c>
      <c r="BH89" t="n">
        <v>0</v>
      </c>
    </row>
    <row r="90">
      <c r="B90" t="inlineStr">
        <is>
          <t>ООО "Полюс Сухой Лог"</t>
        </is>
      </c>
      <c r="C90" t="inlineStr">
        <is>
          <t>Погрузка</t>
        </is>
      </c>
      <c r="D90" t="inlineStr">
        <is>
          <t>Погрузка</t>
        </is>
      </c>
      <c r="E90" t="inlineStr">
        <is>
          <t>OPEX УПА (CAPEX Рудных БЕ)</t>
        </is>
      </c>
      <c r="F90" t="inlineStr">
        <is>
          <t>Экскаватор электрический WK-20 №1220</t>
        </is>
      </c>
      <c r="G90" t="inlineStr">
        <is>
          <t>100000133802</t>
        </is>
      </c>
      <c r="H90" t="inlineStr">
        <is>
          <t>1220</t>
        </is>
      </c>
      <c r="I90" t="inlineStr">
        <is>
          <t>Экскаватор электрический WK-20 №1220</t>
        </is>
      </c>
      <c r="J90" t="inlineStr">
        <is>
          <t>06-ATC-EKSK-OOBR-EXCV-EX04</t>
        </is>
      </c>
      <c r="K90" t="inlineStr">
        <is>
          <t>01.03.2024</t>
        </is>
      </c>
      <c r="L90" t="inlineStr">
        <is>
          <t>01.03.2024</t>
        </is>
      </c>
      <c r="M90" t="inlineStr">
        <is>
          <t>30.06.2039</t>
        </is>
      </c>
      <c r="N90" t="inlineStr">
        <is>
          <t>1102277367</t>
        </is>
      </c>
      <c r="O90" t="inlineStr">
        <is>
          <t>ТР ЦСС</t>
        </is>
      </c>
      <c r="P90" t="inlineStr">
        <is>
          <t>#</t>
        </is>
      </c>
      <c r="Q90" t="inlineStr">
        <is>
          <t>20.03.2027</t>
        </is>
      </c>
      <c r="R90" t="inlineStr">
        <is>
          <t>21.03.2027</t>
        </is>
      </c>
      <c r="S90" t="inlineStr">
        <is>
          <t>Хоз.способ</t>
        </is>
      </c>
      <c r="T90" t="inlineStr">
        <is>
          <t>XS</t>
        </is>
      </c>
      <c r="U90" t="inlineStr">
        <is>
          <t>ОШОЗ  ДМНП  ОТКР  ПКАЛ  ОБСЗ</t>
        </is>
      </c>
      <c r="V90" t="inlineStr">
        <is>
          <t>ТОПЗ  ПТОГ  СГГС  ГОД  СРОЧ  МТРЦ  НВСО  КРМТ</t>
        </is>
      </c>
      <c r="W90" t="inlineStr">
        <is>
          <t>Участок по ТОиР ТТ б</t>
        </is>
      </c>
      <c r="X90" t="inlineStr">
        <is>
          <t>APP1</t>
        </is>
      </c>
      <c r="Y90" t="inlineStr">
        <is>
          <t>ТОРО по ППР</t>
        </is>
      </c>
      <c r="Z90" t="inlineStr">
        <is>
          <t>Текущий ремонт</t>
        </is>
      </c>
      <c r="AA90" t="inlineStr">
        <is>
          <t>ТР</t>
        </is>
      </c>
      <c r="AB90" t="inlineStr">
        <is>
          <t>Парк экскаваторов WK-20</t>
        </is>
      </c>
      <c r="AC90" t="inlineStr">
        <is>
          <t>Парк экскаваторов WK-20</t>
        </is>
      </c>
      <c r="AD90" t="inlineStr">
        <is>
          <t>WK-20</t>
        </is>
      </c>
      <c r="AE90" t="inlineStr">
        <is>
          <t>Насос смаз.K1623.91.01.00 TZ</t>
        </is>
      </c>
      <c r="AF90" t="inlineStr">
        <is>
          <t>975582</t>
        </is>
      </c>
      <c r="AG90" t="inlineStr">
        <is>
          <t>K1623.91.01.00</t>
        </is>
      </c>
      <c r="AH90" t="inlineStr">
        <is>
          <t>20.03.2027</t>
        </is>
      </c>
      <c r="AI90" t="inlineStr">
        <is>
          <t>#</t>
        </is>
      </c>
      <c r="AJ90" t="inlineStr">
        <is>
          <t>X</t>
        </is>
      </c>
      <c r="AK90" t="inlineStr">
        <is>
          <t>Калькуляц.: 100% релеван.</t>
        </is>
      </c>
      <c r="AL90" t="inlineStr">
        <is>
          <t>12.08.2026</t>
        </is>
      </c>
      <c r="AM90" t="inlineStr">
        <is>
          <t>Зап. к экск. WK</t>
        </is>
      </c>
      <c r="AN90" t="inlineStr">
        <is>
          <t>3.1.2.7</t>
        </is>
      </c>
      <c r="AO90" t="inlineStr">
        <is>
          <t>3H2</t>
        </is>
      </c>
      <c r="AP90" t="inlineStr">
        <is>
          <t>Серавкин Д.В.</t>
        </is>
      </c>
      <c r="AQ90" t="inlineStr">
        <is>
          <t>Начиная с деблокир.</t>
        </is>
      </c>
      <c r="AR90" t="inlineStr">
        <is>
          <t>Срочная потребность</t>
        </is>
      </c>
      <c r="AS90" t="inlineStr">
        <is>
          <t>L</t>
        </is>
      </c>
      <c r="AT90" t="inlineStr">
        <is>
          <t>Складская позиция</t>
        </is>
      </c>
      <c r="AU90" t="inlineStr">
        <is>
          <t>АО «Развитие» Иркутс</t>
        </is>
      </c>
      <c r="AV90" t="inlineStr">
        <is>
          <t>7102/100</t>
        </is>
      </c>
      <c r="AW90" t="inlineStr">
        <is>
          <t>Механика</t>
        </is>
      </c>
      <c r="AX90" t="inlineStr">
        <is>
          <t>Taiyuan Heavy Industry</t>
        </is>
      </c>
      <c r="AY90" t="inlineStr">
        <is>
          <t>TZ</t>
        </is>
      </c>
      <c r="AZ90" t="n">
        <v>1115760.29</v>
      </c>
      <c r="BA90" t="n">
        <v>1115760.29</v>
      </c>
      <c r="BB90" t="n">
        <v>1</v>
      </c>
      <c r="BC90" t="n">
        <v>0</v>
      </c>
      <c r="BD90" t="n">
        <v>0</v>
      </c>
      <c r="BF90" t="n">
        <v>0</v>
      </c>
      <c r="BG90" t="n">
        <v>0</v>
      </c>
      <c r="BH90" t="n">
        <v>0</v>
      </c>
    </row>
    <row r="91">
      <c r="B91" t="inlineStr">
        <is>
          <t>ООО "Полюс Сухой Лог"</t>
        </is>
      </c>
      <c r="C91" t="inlineStr">
        <is>
          <t>Погрузка</t>
        </is>
      </c>
      <c r="D91" t="inlineStr">
        <is>
          <t>Погрузка</t>
        </is>
      </c>
      <c r="E91" t="inlineStr">
        <is>
          <t>OPEX УПА (CAPEX Рудных БЕ)</t>
        </is>
      </c>
      <c r="F91" t="inlineStr">
        <is>
          <t>Экскаватор электрический WK-20 №1220</t>
        </is>
      </c>
      <c r="G91" t="inlineStr">
        <is>
          <t>100000133802</t>
        </is>
      </c>
      <c r="H91" t="inlineStr">
        <is>
          <t>1220</t>
        </is>
      </c>
      <c r="I91" t="inlineStr">
        <is>
          <t>Экскаватор электрический WK-20 №1220</t>
        </is>
      </c>
      <c r="J91" t="inlineStr">
        <is>
          <t>06-ATC-EKSK-OOBR-EXCV-EX04</t>
        </is>
      </c>
      <c r="K91" t="inlineStr">
        <is>
          <t>01.03.2024</t>
        </is>
      </c>
      <c r="L91" t="inlineStr">
        <is>
          <t>01.03.2024</t>
        </is>
      </c>
      <c r="M91" t="inlineStr">
        <is>
          <t>30.06.2039</t>
        </is>
      </c>
      <c r="N91" t="inlineStr">
        <is>
          <t>1102277367</t>
        </is>
      </c>
      <c r="O91" t="inlineStr">
        <is>
          <t>ТР ЦСС</t>
        </is>
      </c>
      <c r="P91" t="inlineStr">
        <is>
          <t>#</t>
        </is>
      </c>
      <c r="Q91" t="inlineStr">
        <is>
          <t>20.03.2027</t>
        </is>
      </c>
      <c r="R91" t="inlineStr">
        <is>
          <t>21.03.2027</t>
        </is>
      </c>
      <c r="S91" t="inlineStr">
        <is>
          <t>Хоз.способ</t>
        </is>
      </c>
      <c r="T91" t="inlineStr">
        <is>
          <t>XS</t>
        </is>
      </c>
      <c r="U91" t="inlineStr">
        <is>
          <t>ОШОЗ  ДМНП  ОТКР  ПКАЛ  ОБСЗ</t>
        </is>
      </c>
      <c r="V91" t="inlineStr">
        <is>
          <t>ТОПЗ  ПТОГ  СГГС  ГОД  СРОЧ  МТРЦ  НВСО  КРМТ</t>
        </is>
      </c>
      <c r="W91" t="inlineStr">
        <is>
          <t>Участок по ТОиР ТТ б</t>
        </is>
      </c>
      <c r="X91" t="inlineStr">
        <is>
          <t>APP1</t>
        </is>
      </c>
      <c r="Y91" t="inlineStr">
        <is>
          <t>ТОРО по ППР</t>
        </is>
      </c>
      <c r="Z91" t="inlineStr">
        <is>
          <t>Текущий ремонт</t>
        </is>
      </c>
      <c r="AA91" t="inlineStr">
        <is>
          <t>ТР</t>
        </is>
      </c>
      <c r="AB91" t="inlineStr">
        <is>
          <t>Парк экскаваторов WK-20</t>
        </is>
      </c>
      <c r="AC91" t="inlineStr">
        <is>
          <t>Парк экскаваторов WK-20</t>
        </is>
      </c>
      <c r="AD91" t="inlineStr">
        <is>
          <t>WK-20</t>
        </is>
      </c>
      <c r="AE91" t="inlineStr">
        <is>
          <t>Насос смаз.K1623.93.01.00 TZ</t>
        </is>
      </c>
      <c r="AF91" t="inlineStr">
        <is>
          <t>975626</t>
        </is>
      </c>
      <c r="AG91" t="inlineStr">
        <is>
          <t>K1623.93.01.00</t>
        </is>
      </c>
      <c r="AH91" t="inlineStr">
        <is>
          <t>20.03.2027</t>
        </is>
      </c>
      <c r="AI91" t="inlineStr">
        <is>
          <t>#</t>
        </is>
      </c>
      <c r="AJ91" t="inlineStr">
        <is>
          <t>X</t>
        </is>
      </c>
      <c r="AK91" t="inlineStr">
        <is>
          <t>Калькуляц.: 100% релеван.</t>
        </is>
      </c>
      <c r="AL91" t="inlineStr">
        <is>
          <t>12.08.2026</t>
        </is>
      </c>
      <c r="AM91" t="inlineStr">
        <is>
          <t>Зап. к экск. WK</t>
        </is>
      </c>
      <c r="AN91" t="inlineStr">
        <is>
          <t>3.1.2.7</t>
        </is>
      </c>
      <c r="AO91" t="inlineStr">
        <is>
          <t>3H2</t>
        </is>
      </c>
      <c r="AP91" t="inlineStr">
        <is>
          <t>Серавкин Д.В.</t>
        </is>
      </c>
      <c r="AQ91" t="inlineStr">
        <is>
          <t>Начиная с деблокир.</t>
        </is>
      </c>
      <c r="AR91" t="inlineStr">
        <is>
          <t>Не срочная потребнос</t>
        </is>
      </c>
      <c r="AS91" t="inlineStr">
        <is>
          <t>L</t>
        </is>
      </c>
      <c r="AT91" t="inlineStr">
        <is>
          <t>Складская позиция</t>
        </is>
      </c>
      <c r="AU91" t="inlineStr">
        <is>
          <t>АО «Развитие» Иркутс</t>
        </is>
      </c>
      <c r="AV91" t="inlineStr">
        <is>
          <t>7102/100</t>
        </is>
      </c>
      <c r="AW91" t="inlineStr">
        <is>
          <t>Механика</t>
        </is>
      </c>
      <c r="AX91" t="inlineStr">
        <is>
          <t>Taiyuan Heavy Industry</t>
        </is>
      </c>
      <c r="AY91" t="inlineStr">
        <is>
          <t>TZ</t>
        </is>
      </c>
      <c r="AZ91" t="n">
        <v>2611460.28</v>
      </c>
      <c r="BA91" t="n">
        <v>1305730.14</v>
      </c>
      <c r="BB91" t="n">
        <v>2</v>
      </c>
      <c r="BC91" t="n">
        <v>0</v>
      </c>
      <c r="BD91" t="n">
        <v>0</v>
      </c>
      <c r="BF91" t="n">
        <v>0</v>
      </c>
      <c r="BG91" t="n">
        <v>0</v>
      </c>
      <c r="BH91" t="n">
        <v>0</v>
      </c>
    </row>
    <row r="92">
      <c r="B92" t="inlineStr">
        <is>
          <t>ООО "Полюс Сухой Лог"</t>
        </is>
      </c>
      <c r="C92" t="inlineStr">
        <is>
          <t>Погрузка</t>
        </is>
      </c>
      <c r="D92" t="inlineStr">
        <is>
          <t>Погрузка</t>
        </is>
      </c>
      <c r="E92" t="inlineStr">
        <is>
          <t>OPEX УПА (CAPEX Рудных БЕ)</t>
        </is>
      </c>
      <c r="F92" t="inlineStr">
        <is>
          <t>Экскаватор электрический WK-20 №1220</t>
        </is>
      </c>
      <c r="G92" t="inlineStr">
        <is>
          <t>100000133802</t>
        </is>
      </c>
      <c r="H92" t="inlineStr">
        <is>
          <t>1220</t>
        </is>
      </c>
      <c r="I92" t="inlineStr">
        <is>
          <t>Экскаватор электрический WK-20 №1220</t>
        </is>
      </c>
      <c r="J92" t="inlineStr">
        <is>
          <t>06-ATC-EKSK-OOBR-EXCV-EX04</t>
        </is>
      </c>
      <c r="K92" t="inlineStr">
        <is>
          <t>01.03.2024</t>
        </is>
      </c>
      <c r="L92" t="inlineStr">
        <is>
          <t>01.03.2024</t>
        </is>
      </c>
      <c r="M92" t="inlineStr">
        <is>
          <t>30.06.2039</t>
        </is>
      </c>
      <c r="N92" t="inlineStr">
        <is>
          <t>1102277367</t>
        </is>
      </c>
      <c r="O92" t="inlineStr">
        <is>
          <t>ТР ЦСС</t>
        </is>
      </c>
      <c r="P92" t="inlineStr">
        <is>
          <t>#</t>
        </is>
      </c>
      <c r="Q92" t="inlineStr">
        <is>
          <t>20.03.2027</t>
        </is>
      </c>
      <c r="R92" t="inlineStr">
        <is>
          <t>21.03.2027</t>
        </is>
      </c>
      <c r="S92" t="inlineStr">
        <is>
          <t>Хоз.способ</t>
        </is>
      </c>
      <c r="T92" t="inlineStr">
        <is>
          <t>XS</t>
        </is>
      </c>
      <c r="U92" t="inlineStr">
        <is>
          <t>ОШОЗ  ДМНП  ОТКР  ПКАЛ  ОБСЗ</t>
        </is>
      </c>
      <c r="V92" t="inlineStr">
        <is>
          <t>ТОПЗ  ПТОГ  СГГС  ГОД  СРОЧ  МТРЦ  НВСО  КРМТ</t>
        </is>
      </c>
      <c r="W92" t="inlineStr">
        <is>
          <t>Участок по ТОиР ТТ б</t>
        </is>
      </c>
      <c r="X92" t="inlineStr">
        <is>
          <t>APP1</t>
        </is>
      </c>
      <c r="Y92" t="inlineStr">
        <is>
          <t>ТОРО по ППР</t>
        </is>
      </c>
      <c r="Z92" t="inlineStr">
        <is>
          <t>Текущий ремонт</t>
        </is>
      </c>
      <c r="AA92" t="inlineStr">
        <is>
          <t>ТР</t>
        </is>
      </c>
      <c r="AB92" t="inlineStr">
        <is>
          <t>Парк экскаваторов WK-20</t>
        </is>
      </c>
      <c r="AC92" t="inlineStr">
        <is>
          <t>Парк экскаваторов WK-20</t>
        </is>
      </c>
      <c r="AD92" t="inlineStr">
        <is>
          <t>WK-20</t>
        </is>
      </c>
      <c r="AE92" t="inlineStr">
        <is>
          <t>Распр.2-магист.DM54-100 TZ</t>
        </is>
      </c>
      <c r="AF92" t="inlineStr">
        <is>
          <t>869438</t>
        </is>
      </c>
      <c r="AG92" t="inlineStr">
        <is>
          <t>DM54-100</t>
        </is>
      </c>
      <c r="AH92" t="inlineStr">
        <is>
          <t>20.03.2027</t>
        </is>
      </c>
      <c r="AI92" t="inlineStr">
        <is>
          <t>#</t>
        </is>
      </c>
      <c r="AJ92" t="inlineStr">
        <is>
          <t>X</t>
        </is>
      </c>
      <c r="AK92" t="inlineStr">
        <is>
          <t>Калькуляц.: 100% релеван.</t>
        </is>
      </c>
      <c r="AL92" t="inlineStr">
        <is>
          <t>12.08.2026</t>
        </is>
      </c>
      <c r="AM92" t="inlineStr">
        <is>
          <t>Зап. к экск. WK</t>
        </is>
      </c>
      <c r="AN92" t="inlineStr">
        <is>
          <t>3.1.2.7</t>
        </is>
      </c>
      <c r="AO92" t="inlineStr">
        <is>
          <t>3H2</t>
        </is>
      </c>
      <c r="AP92" t="inlineStr">
        <is>
          <t>Серавкин Д.В.</t>
        </is>
      </c>
      <c r="AQ92" t="inlineStr">
        <is>
          <t>Начиная с деблокир.</t>
        </is>
      </c>
      <c r="AR92" t="inlineStr">
        <is>
          <t>Не срочная потребнос</t>
        </is>
      </c>
      <c r="AS92" t="inlineStr">
        <is>
          <t>L</t>
        </is>
      </c>
      <c r="AT92" t="inlineStr">
        <is>
          <t>Складская позиция</t>
        </is>
      </c>
      <c r="AU92" t="inlineStr">
        <is>
          <t>АО «Развитие» Иркутс</t>
        </is>
      </c>
      <c r="AV92" t="inlineStr">
        <is>
          <t>7102/100</t>
        </is>
      </c>
      <c r="AW92" t="inlineStr">
        <is>
          <t>Механика</t>
        </is>
      </c>
      <c r="AX92" t="inlineStr">
        <is>
          <t>Taiyuan Heavy Industry</t>
        </is>
      </c>
      <c r="AY92" t="inlineStr">
        <is>
          <t>TZ</t>
        </is>
      </c>
      <c r="AZ92" t="n">
        <v>644345.9399999999</v>
      </c>
      <c r="BA92" t="n">
        <v>107390.99</v>
      </c>
      <c r="BB92" t="n">
        <v>6</v>
      </c>
      <c r="BC92" t="n">
        <v>0</v>
      </c>
      <c r="BD92" t="n">
        <v>0</v>
      </c>
      <c r="BF92" t="n">
        <v>0</v>
      </c>
      <c r="BG92" t="n">
        <v>0</v>
      </c>
      <c r="BH92" t="n">
        <v>0</v>
      </c>
    </row>
    <row r="93">
      <c r="B93" t="inlineStr">
        <is>
          <t>ООО "Полюс Сухой Лог"</t>
        </is>
      </c>
      <c r="C93" t="inlineStr">
        <is>
          <t>Погрузка</t>
        </is>
      </c>
      <c r="D93" t="inlineStr">
        <is>
          <t>Погрузка</t>
        </is>
      </c>
      <c r="E93" t="inlineStr">
        <is>
          <t>OPEX УПА (CAPEX Рудных БЕ)</t>
        </is>
      </c>
      <c r="F93" t="inlineStr">
        <is>
          <t>Экскаватор электрический WK-20 №1220</t>
        </is>
      </c>
      <c r="G93" t="inlineStr">
        <is>
          <t>100000133802</t>
        </is>
      </c>
      <c r="H93" t="inlineStr">
        <is>
          <t>1220</t>
        </is>
      </c>
      <c r="I93" t="inlineStr">
        <is>
          <t>Экскаватор электрический WK-20 №1220</t>
        </is>
      </c>
      <c r="J93" t="inlineStr">
        <is>
          <t>06-ATC-EKSK-OOBR-EXCV-EX04</t>
        </is>
      </c>
      <c r="K93" t="inlineStr">
        <is>
          <t>01.03.2024</t>
        </is>
      </c>
      <c r="L93" t="inlineStr">
        <is>
          <t>01.03.2024</t>
        </is>
      </c>
      <c r="M93" t="inlineStr">
        <is>
          <t>30.06.2039</t>
        </is>
      </c>
      <c r="N93" t="inlineStr">
        <is>
          <t>1102277367</t>
        </is>
      </c>
      <c r="O93" t="inlineStr">
        <is>
          <t>ТР ЦСС</t>
        </is>
      </c>
      <c r="P93" t="inlineStr">
        <is>
          <t>#</t>
        </is>
      </c>
      <c r="Q93" t="inlineStr">
        <is>
          <t>20.03.2027</t>
        </is>
      </c>
      <c r="R93" t="inlineStr">
        <is>
          <t>21.03.2027</t>
        </is>
      </c>
      <c r="S93" t="inlineStr">
        <is>
          <t>Хоз.способ</t>
        </is>
      </c>
      <c r="T93" t="inlineStr">
        <is>
          <t>XS</t>
        </is>
      </c>
      <c r="U93" t="inlineStr">
        <is>
          <t>ОШОЗ  ДМНП  ОТКР  ПКАЛ  ОБСЗ</t>
        </is>
      </c>
      <c r="V93" t="inlineStr">
        <is>
          <t>ТОПЗ  ПТОГ  СГГС  ГОД  СРОЧ  МТРЦ  НВСО  КРМТ</t>
        </is>
      </c>
      <c r="W93" t="inlineStr">
        <is>
          <t>Участок по ТОиР ТТ б</t>
        </is>
      </c>
      <c r="X93" t="inlineStr">
        <is>
          <t>APP1</t>
        </is>
      </c>
      <c r="Y93" t="inlineStr">
        <is>
          <t>ТОРО по ППР</t>
        </is>
      </c>
      <c r="Z93" t="inlineStr">
        <is>
          <t>Текущий ремонт</t>
        </is>
      </c>
      <c r="AA93" t="inlineStr">
        <is>
          <t>ТР</t>
        </is>
      </c>
      <c r="AB93" t="inlineStr">
        <is>
          <t>Парк экскаваторов WK-20</t>
        </is>
      </c>
      <c r="AC93" t="inlineStr">
        <is>
          <t>Парк экскаваторов WK-20</t>
        </is>
      </c>
      <c r="AD93" t="inlineStr">
        <is>
          <t>WK-20</t>
        </is>
      </c>
      <c r="AE93" t="inlineStr">
        <is>
          <t>Распр.2-магист.DM62-100 TZ</t>
        </is>
      </c>
      <c r="AF93" t="inlineStr">
        <is>
          <t>869448</t>
        </is>
      </c>
      <c r="AG93" t="inlineStr">
        <is>
          <t>DM62-100</t>
        </is>
      </c>
      <c r="AH93" t="inlineStr">
        <is>
          <t>20.03.2027</t>
        </is>
      </c>
      <c r="AI93" t="inlineStr">
        <is>
          <t>#</t>
        </is>
      </c>
      <c r="AJ93" t="inlineStr">
        <is>
          <t>X</t>
        </is>
      </c>
      <c r="AK93" t="inlineStr">
        <is>
          <t>Калькуляц.: 100% релеван.</t>
        </is>
      </c>
      <c r="AL93" t="inlineStr">
        <is>
          <t>12.08.2026</t>
        </is>
      </c>
      <c r="AM93" t="inlineStr">
        <is>
          <t>Зап. к экск. WK</t>
        </is>
      </c>
      <c r="AN93" t="inlineStr">
        <is>
          <t>3.1.2.7</t>
        </is>
      </c>
      <c r="AO93" t="inlineStr">
        <is>
          <t>3H2</t>
        </is>
      </c>
      <c r="AP93" t="inlineStr">
        <is>
          <t>Серавкин Д.В.</t>
        </is>
      </c>
      <c r="AQ93" t="inlineStr">
        <is>
          <t>Начиная с деблокир.</t>
        </is>
      </c>
      <c r="AR93" t="inlineStr">
        <is>
          <t>Не срочная потребнос</t>
        </is>
      </c>
      <c r="AS93" t="inlineStr">
        <is>
          <t>L</t>
        </is>
      </c>
      <c r="AT93" t="inlineStr">
        <is>
          <t>Складская позиция</t>
        </is>
      </c>
      <c r="AU93" t="inlineStr">
        <is>
          <t>АО «Развитие» Иркутс</t>
        </is>
      </c>
      <c r="AV93" t="inlineStr">
        <is>
          <t>7102/100</t>
        </is>
      </c>
      <c r="AW93" t="inlineStr">
        <is>
          <t>Механика</t>
        </is>
      </c>
      <c r="AX93" t="inlineStr">
        <is>
          <t>Taiyuan Heavy Industry</t>
        </is>
      </c>
      <c r="AY93" t="inlineStr">
        <is>
          <t>TZ</t>
        </is>
      </c>
      <c r="AZ93" t="n">
        <v>505426.8</v>
      </c>
      <c r="BA93" t="n">
        <v>126356.7</v>
      </c>
      <c r="BB93" t="n">
        <v>4</v>
      </c>
      <c r="BC93" t="n">
        <v>0</v>
      </c>
      <c r="BD93" t="n">
        <v>0</v>
      </c>
      <c r="BF93" t="n">
        <v>0</v>
      </c>
      <c r="BG93" t="n">
        <v>0</v>
      </c>
      <c r="BH93" t="n">
        <v>0</v>
      </c>
    </row>
    <row r="94">
      <c r="B94" t="inlineStr">
        <is>
          <t>ООО "Полюс Сухой Лог"</t>
        </is>
      </c>
      <c r="C94" t="inlineStr">
        <is>
          <t>Погрузка</t>
        </is>
      </c>
      <c r="D94" t="inlineStr">
        <is>
          <t>Погрузка</t>
        </is>
      </c>
      <c r="E94" t="inlineStr">
        <is>
          <t>OPEX УПА (CAPEX Рудных БЕ)</t>
        </is>
      </c>
      <c r="F94" t="inlineStr">
        <is>
          <t>Экскаватор электрический WK-20 №1220</t>
        </is>
      </c>
      <c r="G94" t="inlineStr">
        <is>
          <t>100000133802</t>
        </is>
      </c>
      <c r="H94" t="inlineStr">
        <is>
          <t>1220</t>
        </is>
      </c>
      <c r="I94" t="inlineStr">
        <is>
          <t>Экскаватор электрический WK-20 №1220</t>
        </is>
      </c>
      <c r="J94" t="inlineStr">
        <is>
          <t>06-ATC-EKSK-OOBR-EXCV-EX04</t>
        </is>
      </c>
      <c r="K94" t="inlineStr">
        <is>
          <t>01.03.2024</t>
        </is>
      </c>
      <c r="L94" t="inlineStr">
        <is>
          <t>01.03.2024</t>
        </is>
      </c>
      <c r="M94" t="inlineStr">
        <is>
          <t>30.06.2039</t>
        </is>
      </c>
      <c r="N94" t="inlineStr">
        <is>
          <t>1102277367</t>
        </is>
      </c>
      <c r="O94" t="inlineStr">
        <is>
          <t>ТР ЦСС</t>
        </is>
      </c>
      <c r="P94" t="inlineStr">
        <is>
          <t>#</t>
        </is>
      </c>
      <c r="Q94" t="inlineStr">
        <is>
          <t>20.03.2027</t>
        </is>
      </c>
      <c r="R94" t="inlineStr">
        <is>
          <t>21.03.2027</t>
        </is>
      </c>
      <c r="S94" t="inlineStr">
        <is>
          <t>Хоз.способ</t>
        </is>
      </c>
      <c r="T94" t="inlineStr">
        <is>
          <t>XS</t>
        </is>
      </c>
      <c r="U94" t="inlineStr">
        <is>
          <t>ОШОЗ  ДМНП  ОТКР  ПКАЛ  ОБСЗ</t>
        </is>
      </c>
      <c r="V94" t="inlineStr">
        <is>
          <t>ТОПЗ  ПТОГ  СГГС  ГОД  СРОЧ  МТРЦ  НВСО  КРМТ</t>
        </is>
      </c>
      <c r="W94" t="inlineStr">
        <is>
          <t>Участок по ТОиР ТТ б</t>
        </is>
      </c>
      <c r="X94" t="inlineStr">
        <is>
          <t>APP1</t>
        </is>
      </c>
      <c r="Y94" t="inlineStr">
        <is>
          <t>ТОРО по ППР</t>
        </is>
      </c>
      <c r="Z94" t="inlineStr">
        <is>
          <t>Текущий ремонт</t>
        </is>
      </c>
      <c r="AA94" t="inlineStr">
        <is>
          <t>ТР</t>
        </is>
      </c>
      <c r="AB94" t="inlineStr">
        <is>
          <t>Парк экскаваторов WK-20</t>
        </is>
      </c>
      <c r="AC94" t="inlineStr">
        <is>
          <t>Парк экскаваторов WK-20</t>
        </is>
      </c>
      <c r="AD94" t="inlineStr">
        <is>
          <t>WK-20</t>
        </is>
      </c>
      <c r="AE94" t="inlineStr">
        <is>
          <t>Реле потока DWE-FGR200G34A3TS75L TZ</t>
        </is>
      </c>
      <c r="AF94" t="inlineStr">
        <is>
          <t>976506</t>
        </is>
      </c>
      <c r="AG94" t="inlineStr">
        <is>
          <t>DWE-FGR200G34A3TS75L</t>
        </is>
      </c>
      <c r="AH94" t="inlineStr">
        <is>
          <t>20.03.2027</t>
        </is>
      </c>
      <c r="AI94" t="inlineStr">
        <is>
          <t>#</t>
        </is>
      </c>
      <c r="AJ94" t="inlineStr">
        <is>
          <t>X</t>
        </is>
      </c>
      <c r="AK94" t="inlineStr">
        <is>
          <t>Калькуляц.: 100% релеван.</t>
        </is>
      </c>
      <c r="AL94" t="inlineStr">
        <is>
          <t>12.08.2026</t>
        </is>
      </c>
      <c r="AM94" t="inlineStr">
        <is>
          <t>Зап. к экск. WK</t>
        </is>
      </c>
      <c r="AN94" t="inlineStr">
        <is>
          <t>3.1.2.7</t>
        </is>
      </c>
      <c r="AO94" t="inlineStr">
        <is>
          <t>3H2</t>
        </is>
      </c>
      <c r="AP94" t="inlineStr">
        <is>
          <t>Серавкин Д.В.</t>
        </is>
      </c>
      <c r="AQ94" t="inlineStr">
        <is>
          <t>Начиная с деблокир.</t>
        </is>
      </c>
      <c r="AR94" t="inlineStr">
        <is>
          <t>Не срочная потребнос</t>
        </is>
      </c>
      <c r="AS94" t="inlineStr">
        <is>
          <t>L</t>
        </is>
      </c>
      <c r="AT94" t="inlineStr">
        <is>
          <t>Складская позиция</t>
        </is>
      </c>
      <c r="AU94" t="inlineStr">
        <is>
          <t>АО «Развитие» Иркутс</t>
        </is>
      </c>
      <c r="AV94" t="inlineStr">
        <is>
          <t>7102/100</t>
        </is>
      </c>
      <c r="AW94" t="inlineStr">
        <is>
          <t>Механика</t>
        </is>
      </c>
      <c r="AX94" t="inlineStr">
        <is>
          <t>Taiyuan Heavy Industry</t>
        </is>
      </c>
      <c r="AY94" t="inlineStr">
        <is>
          <t>TZ</t>
        </is>
      </c>
      <c r="AZ94" t="n">
        <v>2880502.53</v>
      </c>
      <c r="BA94" t="n">
        <v>960167.51</v>
      </c>
      <c r="BB94" t="n">
        <v>3</v>
      </c>
      <c r="BC94" t="n">
        <v>0</v>
      </c>
      <c r="BD94" t="n">
        <v>0</v>
      </c>
      <c r="BF94" t="n">
        <v>0</v>
      </c>
      <c r="BG94" t="n">
        <v>0</v>
      </c>
      <c r="BH94" t="n">
        <v>0</v>
      </c>
    </row>
    <row r="95">
      <c r="B95" t="inlineStr">
        <is>
          <t>ООО "Полюс Сухой Лог"</t>
        </is>
      </c>
      <c r="C95" t="inlineStr">
        <is>
          <t>Погрузка</t>
        </is>
      </c>
      <c r="D95" t="inlineStr">
        <is>
          <t>Погрузка</t>
        </is>
      </c>
      <c r="E95" t="inlineStr">
        <is>
          <t>OPEX УПА (CAPEX Рудных БЕ)</t>
        </is>
      </c>
      <c r="F95" t="inlineStr">
        <is>
          <t>Экскаватор электрический WK-20 №1220</t>
        </is>
      </c>
      <c r="G95" t="inlineStr">
        <is>
          <t>100000133802</t>
        </is>
      </c>
      <c r="H95" t="inlineStr">
        <is>
          <t>1220</t>
        </is>
      </c>
      <c r="I95" t="inlineStr">
        <is>
          <t>Экскаватор электрический WK-20 №1220</t>
        </is>
      </c>
      <c r="J95" t="inlineStr">
        <is>
          <t>06-ATC-EKSK-OOBR-EXCV-EX04</t>
        </is>
      </c>
      <c r="K95" t="inlineStr">
        <is>
          <t>01.03.2024</t>
        </is>
      </c>
      <c r="L95" t="inlineStr">
        <is>
          <t>01.03.2024</t>
        </is>
      </c>
      <c r="M95" t="inlineStr">
        <is>
          <t>30.06.2039</t>
        </is>
      </c>
      <c r="N95" t="inlineStr">
        <is>
          <t>1102277367</t>
        </is>
      </c>
      <c r="O95" t="inlineStr">
        <is>
          <t>ТР ЦСС</t>
        </is>
      </c>
      <c r="P95" t="inlineStr">
        <is>
          <t>#</t>
        </is>
      </c>
      <c r="Q95" t="inlineStr">
        <is>
          <t>20.03.2027</t>
        </is>
      </c>
      <c r="R95" t="inlineStr">
        <is>
          <t>21.03.2027</t>
        </is>
      </c>
      <c r="S95" t="inlineStr">
        <is>
          <t>Хоз.способ</t>
        </is>
      </c>
      <c r="T95" t="inlineStr">
        <is>
          <t>XS</t>
        </is>
      </c>
      <c r="U95" t="inlineStr">
        <is>
          <t>ОШОЗ  ДМНП  ОТКР  ПКАЛ  ОБСЗ</t>
        </is>
      </c>
      <c r="V95" t="inlineStr">
        <is>
          <t>ТОПЗ  ПТОГ  СГГС  ГОД  СРОЧ  МТРЦ  НВСО  КРМТ</t>
        </is>
      </c>
      <c r="W95" t="inlineStr">
        <is>
          <t>Участок по ТОиР ТТ б</t>
        </is>
      </c>
      <c r="X95" t="inlineStr">
        <is>
          <t>APP1</t>
        </is>
      </c>
      <c r="Y95" t="inlineStr">
        <is>
          <t>ТОРО по ППР</t>
        </is>
      </c>
      <c r="Z95" t="inlineStr">
        <is>
          <t>Текущий ремонт</t>
        </is>
      </c>
      <c r="AA95" t="inlineStr">
        <is>
          <t>ТР</t>
        </is>
      </c>
      <c r="AB95" t="inlineStr">
        <is>
          <t>Парк экскаваторов WK-20</t>
        </is>
      </c>
      <c r="AC95" t="inlineStr">
        <is>
          <t>Парк экскаваторов WK-20</t>
        </is>
      </c>
      <c r="AD95" t="inlineStr">
        <is>
          <t>WK-20</t>
        </is>
      </c>
      <c r="AE95" t="inlineStr">
        <is>
          <t>Фильтр масляный F-1015-IIRN-012 TZ</t>
        </is>
      </c>
      <c r="AF95" t="inlineStr">
        <is>
          <t>1232986</t>
        </is>
      </c>
      <c r="AG95" t="inlineStr">
        <is>
          <t>F-1015-IIRN-012</t>
        </is>
      </c>
      <c r="AH95" t="inlineStr">
        <is>
          <t>20.03.2027</t>
        </is>
      </c>
      <c r="AI95" t="inlineStr">
        <is>
          <t>#</t>
        </is>
      </c>
      <c r="AJ95" t="inlineStr">
        <is>
          <t>X</t>
        </is>
      </c>
      <c r="AK95" t="inlineStr">
        <is>
          <t>Калькуляц.: 100% релеван.</t>
        </is>
      </c>
      <c r="AL95" t="inlineStr">
        <is>
          <t>12.08.2026</t>
        </is>
      </c>
      <c r="AM95" t="inlineStr">
        <is>
          <t>Зап. к экск. WK</t>
        </is>
      </c>
      <c r="AN95" t="inlineStr">
        <is>
          <t>3.1.2.7</t>
        </is>
      </c>
      <c r="AO95" t="inlineStr">
        <is>
          <t>3H2</t>
        </is>
      </c>
      <c r="AP95" t="inlineStr">
        <is>
          <t>Серавкин Д.В.</t>
        </is>
      </c>
      <c r="AQ95" t="inlineStr">
        <is>
          <t>Начиная с деблокир.</t>
        </is>
      </c>
      <c r="AR95" t="inlineStr">
        <is>
          <t>Не срочная потребнос</t>
        </is>
      </c>
      <c r="AS95" t="inlineStr">
        <is>
          <t>L</t>
        </is>
      </c>
      <c r="AT95" t="inlineStr">
        <is>
          <t>Складская позиция</t>
        </is>
      </c>
      <c r="AU95" t="inlineStr">
        <is>
          <t>АО «Развитие» Иркутс</t>
        </is>
      </c>
      <c r="AV95" t="inlineStr">
        <is>
          <t>7102/100</t>
        </is>
      </c>
      <c r="AW95" t="inlineStr">
        <is>
          <t>Механика</t>
        </is>
      </c>
      <c r="AX95" t="inlineStr">
        <is>
          <t>Taiyuan Heavy Industry</t>
        </is>
      </c>
      <c r="AY95" t="inlineStr">
        <is>
          <t>TZ</t>
        </is>
      </c>
      <c r="AZ95" t="n">
        <v>440659.05</v>
      </c>
      <c r="BA95" t="n">
        <v>146886.35</v>
      </c>
      <c r="BB95" t="n">
        <v>3</v>
      </c>
      <c r="BC95" t="n">
        <v>0</v>
      </c>
      <c r="BD95" t="n">
        <v>0</v>
      </c>
      <c r="BF95" t="n">
        <v>0</v>
      </c>
      <c r="BG95" t="n">
        <v>0</v>
      </c>
      <c r="BH95" t="n">
        <v>0</v>
      </c>
    </row>
    <row r="96">
      <c r="B96" t="inlineStr">
        <is>
          <t>ООО "Полюс Сухой Лог"</t>
        </is>
      </c>
      <c r="C96" t="inlineStr">
        <is>
          <t>Погрузка</t>
        </is>
      </c>
      <c r="D96" t="inlineStr">
        <is>
          <t>Погрузка</t>
        </is>
      </c>
      <c r="E96" t="inlineStr">
        <is>
          <t>OPEX УПА (CAPEX Рудных БЕ)</t>
        </is>
      </c>
      <c r="F96" t="inlineStr">
        <is>
          <t>Экскаватор электрический WK-20 №1220</t>
        </is>
      </c>
      <c r="G96" t="inlineStr">
        <is>
          <t>100000133802</t>
        </is>
      </c>
      <c r="H96" t="inlineStr">
        <is>
          <t>1220</t>
        </is>
      </c>
      <c r="I96" t="inlineStr">
        <is>
          <t>Экскаватор электрический WK-20 №1220</t>
        </is>
      </c>
      <c r="J96" t="inlineStr">
        <is>
          <t>06-ATC-EKSK-OOBR-EXCV-EX04</t>
        </is>
      </c>
      <c r="K96" t="inlineStr">
        <is>
          <t>01.03.2024</t>
        </is>
      </c>
      <c r="L96" t="inlineStr">
        <is>
          <t>01.03.2024</t>
        </is>
      </c>
      <c r="M96" t="inlineStr">
        <is>
          <t>30.06.2039</t>
        </is>
      </c>
      <c r="N96" t="inlineStr">
        <is>
          <t>1102688138</t>
        </is>
      </c>
      <c r="O96" t="inlineStr">
        <is>
          <t>ТР Мех.пов WK-20 №1220</t>
        </is>
      </c>
      <c r="P96" t="inlineStr">
        <is>
          <t>#</t>
        </is>
      </c>
      <c r="Q96" t="inlineStr">
        <is>
          <t>01.06.2027</t>
        </is>
      </c>
      <c r="R96" t="inlineStr">
        <is>
          <t>03.06.2027</t>
        </is>
      </c>
      <c r="S96" t="inlineStr">
        <is>
          <t>Хоз.способ</t>
        </is>
      </c>
      <c r="T96" t="inlineStr">
        <is>
          <t>XS</t>
        </is>
      </c>
      <c r="U96" t="inlineStr">
        <is>
          <t>ОТКР  ПКАЛ  ОБСЗ  ДМНП</t>
        </is>
      </c>
      <c r="V96" t="inlineStr">
        <is>
          <t>СРОЧ  ТОПЗ  ПТОГ  СГГС  ГОД  МТРЦ  КРМТ</t>
        </is>
      </c>
      <c r="W96" t="inlineStr">
        <is>
          <t>Участок по ТОиР ТТ б</t>
        </is>
      </c>
      <c r="X96" t="inlineStr">
        <is>
          <t>APP1</t>
        </is>
      </c>
      <c r="Y96" t="inlineStr">
        <is>
          <t>ТОРО по ППР</t>
        </is>
      </c>
      <c r="Z96" t="inlineStr">
        <is>
          <t>Текущий ремонт</t>
        </is>
      </c>
      <c r="AA96" t="inlineStr">
        <is>
          <t>ТР</t>
        </is>
      </c>
      <c r="AB96" t="inlineStr">
        <is>
          <t>Парк экскаваторов WK-20</t>
        </is>
      </c>
      <c r="AC96" t="inlineStr">
        <is>
          <t>Парк экскаваторов WK-20</t>
        </is>
      </c>
      <c r="AD96" t="inlineStr">
        <is>
          <t>WK-20</t>
        </is>
      </c>
      <c r="AE96" t="inlineStr">
        <is>
          <t>Болт M24х80 GB/T32.1M24x80 TZ</t>
        </is>
      </c>
      <c r="AF96" t="inlineStr">
        <is>
          <t>1207176</t>
        </is>
      </c>
      <c r="AG96" t="inlineStr">
        <is>
          <t>GB/T32.1M24X80</t>
        </is>
      </c>
      <c r="AH96" t="inlineStr">
        <is>
          <t>01.06.2027</t>
        </is>
      </c>
      <c r="AI96" t="inlineStr">
        <is>
          <t>#</t>
        </is>
      </c>
      <c r="AJ96" t="inlineStr">
        <is>
          <t>X</t>
        </is>
      </c>
      <c r="AK96" t="inlineStr">
        <is>
          <t>Калькуляц.: 100% релеван.</t>
        </is>
      </c>
      <c r="AL96" t="inlineStr">
        <is>
          <t>22.05.2026</t>
        </is>
      </c>
      <c r="AM96" t="inlineStr">
        <is>
          <t>Зап. к экск. WK</t>
        </is>
      </c>
      <c r="AN96" t="inlineStr">
        <is>
          <t>3.1.2.7</t>
        </is>
      </c>
      <c r="AO96" t="inlineStr">
        <is>
          <t>3H2</t>
        </is>
      </c>
      <c r="AP96" t="inlineStr">
        <is>
          <t>Серавкин Д.В.</t>
        </is>
      </c>
      <c r="AQ96" t="inlineStr">
        <is>
          <t>Начиная с деблокир.</t>
        </is>
      </c>
      <c r="AR96" t="inlineStr">
        <is>
          <t>Срочная потребность</t>
        </is>
      </c>
      <c r="AS96" t="inlineStr">
        <is>
          <t>L</t>
        </is>
      </c>
      <c r="AT96" t="inlineStr">
        <is>
          <t>Складская позиция</t>
        </is>
      </c>
      <c r="AU96" t="inlineStr">
        <is>
          <t>АО «Развитие» Иркутс</t>
        </is>
      </c>
      <c r="AV96" t="inlineStr">
        <is>
          <t>7102/100</t>
        </is>
      </c>
      <c r="AW96" t="inlineStr">
        <is>
          <t>Механика</t>
        </is>
      </c>
      <c r="AX96" t="inlineStr">
        <is>
          <t>Taiyuan Heavy Industry</t>
        </is>
      </c>
      <c r="AY96" t="inlineStr">
        <is>
          <t>TZ</t>
        </is>
      </c>
      <c r="AZ96" t="n">
        <v>10231.68</v>
      </c>
      <c r="BA96" t="n">
        <v>639.48</v>
      </c>
      <c r="BB96" t="n">
        <v>16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</row>
    <row r="97">
      <c r="B97" t="inlineStr">
        <is>
          <t>ООО "Полюс Сухой Лог"</t>
        </is>
      </c>
      <c r="C97" t="inlineStr">
        <is>
          <t>Погрузка</t>
        </is>
      </c>
      <c r="D97" t="inlineStr">
        <is>
          <t>Погрузка</t>
        </is>
      </c>
      <c r="E97" t="inlineStr">
        <is>
          <t>OPEX УПА (CAPEX Рудных БЕ)</t>
        </is>
      </c>
      <c r="F97" t="inlineStr">
        <is>
          <t>Экскаватор электрический WK-20 №1220</t>
        </is>
      </c>
      <c r="G97" t="inlineStr">
        <is>
          <t>100000133802</t>
        </is>
      </c>
      <c r="H97" t="inlineStr">
        <is>
          <t>1220</t>
        </is>
      </c>
      <c r="I97" t="inlineStr">
        <is>
          <t>Экскаватор электрический WK-20 №1220</t>
        </is>
      </c>
      <c r="J97" t="inlineStr">
        <is>
          <t>06-ATC-EKSK-OOBR-EXCV-EX04</t>
        </is>
      </c>
      <c r="K97" t="inlineStr">
        <is>
          <t>01.03.2024</t>
        </is>
      </c>
      <c r="L97" t="inlineStr">
        <is>
          <t>01.03.2024</t>
        </is>
      </c>
      <c r="M97" t="inlineStr">
        <is>
          <t>30.06.2039</t>
        </is>
      </c>
      <c r="N97" t="inlineStr">
        <is>
          <t>1102688138</t>
        </is>
      </c>
      <c r="O97" t="inlineStr">
        <is>
          <t>ТР Мех.пов WK-20 №1220</t>
        </is>
      </c>
      <c r="P97" t="inlineStr">
        <is>
          <t>#</t>
        </is>
      </c>
      <c r="Q97" t="inlineStr">
        <is>
          <t>01.06.2027</t>
        </is>
      </c>
      <c r="R97" t="inlineStr">
        <is>
          <t>03.06.2027</t>
        </is>
      </c>
      <c r="S97" t="inlineStr">
        <is>
          <t>Хоз.способ</t>
        </is>
      </c>
      <c r="T97" t="inlineStr">
        <is>
          <t>XS</t>
        </is>
      </c>
      <c r="U97" t="inlineStr">
        <is>
          <t>ОТКР  ПКАЛ  ОБСЗ  ДМНП</t>
        </is>
      </c>
      <c r="V97" t="inlineStr">
        <is>
          <t>СРОЧ  ТОПЗ  ПТОГ  СГГС  ГОД  МТРЦ  КРМТ</t>
        </is>
      </c>
      <c r="W97" t="inlineStr">
        <is>
          <t>Участок по ТОиР ТТ б</t>
        </is>
      </c>
      <c r="X97" t="inlineStr">
        <is>
          <t>APP1</t>
        </is>
      </c>
      <c r="Y97" t="inlineStr">
        <is>
          <t>ТОРО по ППР</t>
        </is>
      </c>
      <c r="Z97" t="inlineStr">
        <is>
          <t>Текущий ремонт</t>
        </is>
      </c>
      <c r="AA97" t="inlineStr">
        <is>
          <t>ТР</t>
        </is>
      </c>
      <c r="AB97" t="inlineStr">
        <is>
          <t>Парк экскаваторов WK-20</t>
        </is>
      </c>
      <c r="AC97" t="inlineStr">
        <is>
          <t>Парк экскаваторов WK-20</t>
        </is>
      </c>
      <c r="AD97" t="inlineStr">
        <is>
          <t>WK-20</t>
        </is>
      </c>
      <c r="AE97" t="inlineStr">
        <is>
          <t>Вал поворот.K1605.07.01.00 TZ</t>
        </is>
      </c>
      <c r="AF97" t="inlineStr">
        <is>
          <t>975529</t>
        </is>
      </c>
      <c r="AG97" t="inlineStr">
        <is>
          <t>K1605.07.01.00</t>
        </is>
      </c>
      <c r="AH97" t="inlineStr">
        <is>
          <t>01.06.2027</t>
        </is>
      </c>
      <c r="AI97" t="inlineStr">
        <is>
          <t>#</t>
        </is>
      </c>
      <c r="AJ97" t="inlineStr">
        <is>
          <t>X</t>
        </is>
      </c>
      <c r="AK97" t="inlineStr">
        <is>
          <t>Калькуляц.: 100% релеван.</t>
        </is>
      </c>
      <c r="AL97" t="inlineStr">
        <is>
          <t>12.08.2026</t>
        </is>
      </c>
      <c r="AM97" t="inlineStr">
        <is>
          <t>Зап. к экск. WK</t>
        </is>
      </c>
      <c r="AN97" t="inlineStr">
        <is>
          <t>3.1.2.7</t>
        </is>
      </c>
      <c r="AO97" t="inlineStr">
        <is>
          <t>3H2</t>
        </is>
      </c>
      <c r="AP97" t="inlineStr">
        <is>
          <t>Серавкин Д.В.</t>
        </is>
      </c>
      <c r="AQ97" t="inlineStr">
        <is>
          <t>Начиная с деблокир.</t>
        </is>
      </c>
      <c r="AR97" t="inlineStr">
        <is>
          <t>Не срочная потребнос</t>
        </is>
      </c>
      <c r="AS97" t="inlineStr">
        <is>
          <t>L</t>
        </is>
      </c>
      <c r="AT97" t="inlineStr">
        <is>
          <t>Складская позиция</t>
        </is>
      </c>
      <c r="AU97" t="inlineStr">
        <is>
          <t>АО «Развитие» Иркутс</t>
        </is>
      </c>
      <c r="AV97" t="inlineStr">
        <is>
          <t>7102/100</t>
        </is>
      </c>
      <c r="AW97" t="inlineStr">
        <is>
          <t>Механика</t>
        </is>
      </c>
      <c r="AX97" t="inlineStr">
        <is>
          <t>Taiyuan Heavy Industry</t>
        </is>
      </c>
      <c r="AY97" t="inlineStr">
        <is>
          <t>TZ</t>
        </is>
      </c>
      <c r="AZ97" t="n">
        <v>5369962.16</v>
      </c>
      <c r="BA97" t="n">
        <v>2684981.08</v>
      </c>
      <c r="BB97" t="n">
        <v>2</v>
      </c>
      <c r="BC97" t="n">
        <v>0</v>
      </c>
      <c r="BD97" t="n">
        <v>0</v>
      </c>
      <c r="BF97" t="n">
        <v>0</v>
      </c>
      <c r="BG97" t="n">
        <v>0</v>
      </c>
      <c r="BH97" t="n">
        <v>0</v>
      </c>
    </row>
    <row r="98">
      <c r="B98" t="inlineStr">
        <is>
          <t>ООО "Полюс Сухой Лог"</t>
        </is>
      </c>
      <c r="C98" t="inlineStr">
        <is>
          <t>Погрузка</t>
        </is>
      </c>
      <c r="D98" t="inlineStr">
        <is>
          <t>Погрузка</t>
        </is>
      </c>
      <c r="E98" t="inlineStr">
        <is>
          <t>OPEX УПА (CAPEX Рудных БЕ)</t>
        </is>
      </c>
      <c r="F98" t="inlineStr">
        <is>
          <t>Экскаватор электрический WK-20 №1220</t>
        </is>
      </c>
      <c r="G98" t="inlineStr">
        <is>
          <t>100000133802</t>
        </is>
      </c>
      <c r="H98" t="inlineStr">
        <is>
          <t>1220</t>
        </is>
      </c>
      <c r="I98" t="inlineStr">
        <is>
          <t>Экскаватор электрический WK-20 №1220</t>
        </is>
      </c>
      <c r="J98" t="inlineStr">
        <is>
          <t>06-ATC-EKSK-OOBR-EXCV-EX04</t>
        </is>
      </c>
      <c r="K98" t="inlineStr">
        <is>
          <t>01.03.2024</t>
        </is>
      </c>
      <c r="L98" t="inlineStr">
        <is>
          <t>01.03.2024</t>
        </is>
      </c>
      <c r="M98" t="inlineStr">
        <is>
          <t>30.06.2039</t>
        </is>
      </c>
      <c r="N98" t="inlineStr">
        <is>
          <t>1102688138</t>
        </is>
      </c>
      <c r="O98" t="inlineStr">
        <is>
          <t>ТР Мех.пов WK-20 №1220</t>
        </is>
      </c>
      <c r="P98" t="inlineStr">
        <is>
          <t>#</t>
        </is>
      </c>
      <c r="Q98" t="inlineStr">
        <is>
          <t>01.06.2027</t>
        </is>
      </c>
      <c r="R98" t="inlineStr">
        <is>
          <t>03.06.2027</t>
        </is>
      </c>
      <c r="S98" t="inlineStr">
        <is>
          <t>Хоз.способ</t>
        </is>
      </c>
      <c r="T98" t="inlineStr">
        <is>
          <t>XS</t>
        </is>
      </c>
      <c r="U98" t="inlineStr">
        <is>
          <t>ОТКР  ПКАЛ  ОБСЗ  ДМНП</t>
        </is>
      </c>
      <c r="V98" t="inlineStr">
        <is>
          <t>СРОЧ  ТОПЗ  ПТОГ  СГГС  ГОД  МТРЦ  КРМТ</t>
        </is>
      </c>
      <c r="W98" t="inlineStr">
        <is>
          <t>Участок по ТОиР ТТ б</t>
        </is>
      </c>
      <c r="X98" t="inlineStr">
        <is>
          <t>APP1</t>
        </is>
      </c>
      <c r="Y98" t="inlineStr">
        <is>
          <t>ТОРО по ППР</t>
        </is>
      </c>
      <c r="Z98" t="inlineStr">
        <is>
          <t>Текущий ремонт</t>
        </is>
      </c>
      <c r="AA98" t="inlineStr">
        <is>
          <t>ТР</t>
        </is>
      </c>
      <c r="AB98" t="inlineStr">
        <is>
          <t>Парк экскаваторов WK-20</t>
        </is>
      </c>
      <c r="AC98" t="inlineStr">
        <is>
          <t>Парк экскаваторов WK-20</t>
        </is>
      </c>
      <c r="AD98" t="inlineStr">
        <is>
          <t>WK-20</t>
        </is>
      </c>
      <c r="AE98" t="inlineStr">
        <is>
          <t>Шестерня поворота мал. K1605.07.01.02 TZ</t>
        </is>
      </c>
      <c r="AF98" t="inlineStr">
        <is>
          <t>1170671</t>
        </is>
      </c>
      <c r="AG98" t="inlineStr">
        <is>
          <t>K1605.07.01.02</t>
        </is>
      </c>
      <c r="AH98" t="inlineStr">
        <is>
          <t>01.06.2027</t>
        </is>
      </c>
      <c r="AI98" t="inlineStr">
        <is>
          <t>#</t>
        </is>
      </c>
      <c r="AJ98" t="inlineStr">
        <is>
          <t>X</t>
        </is>
      </c>
      <c r="AK98" t="inlineStr">
        <is>
          <t>Калькуляц.: 100% релеван.</t>
        </is>
      </c>
      <c r="AL98" t="inlineStr">
        <is>
          <t>12.08.2026</t>
        </is>
      </c>
      <c r="AM98" t="inlineStr">
        <is>
          <t>Зап. к экск. WK</t>
        </is>
      </c>
      <c r="AN98" t="inlineStr">
        <is>
          <t>3.1.2.7</t>
        </is>
      </c>
      <c r="AO98" t="inlineStr">
        <is>
          <t>3H2</t>
        </is>
      </c>
      <c r="AP98" t="inlineStr">
        <is>
          <t>Серавкин Д.В.</t>
        </is>
      </c>
      <c r="AQ98" t="inlineStr">
        <is>
          <t>Начиная с деблокир.</t>
        </is>
      </c>
      <c r="AR98" t="inlineStr">
        <is>
          <t>Срочная потребность</t>
        </is>
      </c>
      <c r="AS98" t="inlineStr">
        <is>
          <t>L</t>
        </is>
      </c>
      <c r="AT98" t="inlineStr">
        <is>
          <t>Складская позиция</t>
        </is>
      </c>
      <c r="AU98" t="inlineStr">
        <is>
          <t>АО «Развитие» Иркутс</t>
        </is>
      </c>
      <c r="AV98" t="inlineStr">
        <is>
          <t>7102/100</t>
        </is>
      </c>
      <c r="AW98" t="inlineStr">
        <is>
          <t>Механика</t>
        </is>
      </c>
      <c r="AX98" t="inlineStr">
        <is>
          <t>Taiyuan Heavy Industry</t>
        </is>
      </c>
      <c r="AY98" t="inlineStr">
        <is>
          <t>TZ</t>
        </is>
      </c>
      <c r="AZ98" t="n">
        <v>1754032.52</v>
      </c>
      <c r="BA98" t="n">
        <v>877016.26</v>
      </c>
      <c r="BB98" t="n">
        <v>2</v>
      </c>
      <c r="BC98" t="n">
        <v>0</v>
      </c>
      <c r="BD98" t="n">
        <v>0</v>
      </c>
      <c r="BF98" t="n">
        <v>0</v>
      </c>
      <c r="BG98" t="n">
        <v>0</v>
      </c>
      <c r="BH98" t="n">
        <v>0</v>
      </c>
    </row>
    <row r="99">
      <c r="B99" t="inlineStr">
        <is>
          <t>ООО "Полюс Сухой Лог"</t>
        </is>
      </c>
      <c r="C99" t="inlineStr">
        <is>
          <t>Погрузка</t>
        </is>
      </c>
      <c r="D99" t="inlineStr">
        <is>
          <t>Погрузка</t>
        </is>
      </c>
      <c r="E99" t="inlineStr">
        <is>
          <t>OPEX УПА (CAPEX Рудных БЕ)</t>
        </is>
      </c>
      <c r="F99" t="inlineStr">
        <is>
          <t>Экскаватор электрический WK-20 №1220</t>
        </is>
      </c>
      <c r="G99" t="inlineStr">
        <is>
          <t>100000133802</t>
        </is>
      </c>
      <c r="H99" t="inlineStr">
        <is>
          <t>1220</t>
        </is>
      </c>
      <c r="I99" t="inlineStr">
        <is>
          <t>Экскаватор электрический WK-20 №1220</t>
        </is>
      </c>
      <c r="J99" t="inlineStr">
        <is>
          <t>06-ATC-EKSK-OOBR-EXCV-EX04</t>
        </is>
      </c>
      <c r="K99" t="inlineStr">
        <is>
          <t>01.03.2024</t>
        </is>
      </c>
      <c r="L99" t="inlineStr">
        <is>
          <t>01.03.2024</t>
        </is>
      </c>
      <c r="M99" t="inlineStr">
        <is>
          <t>30.06.2039</t>
        </is>
      </c>
      <c r="N99" t="inlineStr">
        <is>
          <t>1102732569</t>
        </is>
      </c>
      <c r="O99" t="inlineStr">
        <is>
          <t>ТР РО WK-20 №1220</t>
        </is>
      </c>
      <c r="P99" t="inlineStr">
        <is>
          <t>#</t>
        </is>
      </c>
      <c r="Q99" t="inlineStr">
        <is>
          <t>01.06.2027</t>
        </is>
      </c>
      <c r="R99" t="inlineStr">
        <is>
          <t>03.06.2027</t>
        </is>
      </c>
      <c r="S99" t="inlineStr">
        <is>
          <t>Хоз.способ</t>
        </is>
      </c>
      <c r="T99" t="inlineStr">
        <is>
          <t>XS</t>
        </is>
      </c>
      <c r="U99" t="inlineStr">
        <is>
          <t>ПКАЛ  ОБСЗ  ДМНП  ОТКР</t>
        </is>
      </c>
      <c r="V99" t="inlineStr">
        <is>
          <t>СРОЧ  ТОПЗ  ПТОГ  СГГС  ГОД  МТРЦ  КРМТ</t>
        </is>
      </c>
      <c r="W99" t="inlineStr">
        <is>
          <t>Участок по ТОиР ТТ б</t>
        </is>
      </c>
      <c r="X99" t="inlineStr">
        <is>
          <t>APP1</t>
        </is>
      </c>
      <c r="Y99" t="inlineStr">
        <is>
          <t>ТОРО по ППР</t>
        </is>
      </c>
      <c r="Z99" t="inlineStr">
        <is>
          <t>Текущий ремонт</t>
        </is>
      </c>
      <c r="AA99" t="inlineStr">
        <is>
          <t>ТР</t>
        </is>
      </c>
      <c r="AB99" t="inlineStr">
        <is>
          <t>Парк экскаваторов WK-20</t>
        </is>
      </c>
      <c r="AC99" t="inlineStr">
        <is>
          <t>Парк экскаваторов WK-20</t>
        </is>
      </c>
      <c r="AD99" t="inlineStr">
        <is>
          <t>WK-20</t>
        </is>
      </c>
      <c r="AE99" t="inlineStr">
        <is>
          <t>Канат подъем.K1602.05.04 TZ</t>
        </is>
      </c>
      <c r="AF99" t="inlineStr">
        <is>
          <t>948713</t>
        </is>
      </c>
      <c r="AG99" t="inlineStr">
        <is>
          <t>K1602.05.04</t>
        </is>
      </c>
      <c r="AH99" t="inlineStr">
        <is>
          <t>01.06.2027</t>
        </is>
      </c>
      <c r="AI99" t="inlineStr">
        <is>
          <t>#</t>
        </is>
      </c>
      <c r="AJ99" t="inlineStr">
        <is>
          <t>X</t>
        </is>
      </c>
      <c r="AK99" t="inlineStr">
        <is>
          <t>Калькуляц.: 100% релеван.</t>
        </is>
      </c>
      <c r="AL99" t="inlineStr">
        <is>
          <t>12.08.2026</t>
        </is>
      </c>
      <c r="AM99" t="inlineStr">
        <is>
          <t>Зап. к экск. WK</t>
        </is>
      </c>
      <c r="AN99" t="inlineStr">
        <is>
          <t>3.1.2.7</t>
        </is>
      </c>
      <c r="AO99" t="inlineStr">
        <is>
          <t>3H2</t>
        </is>
      </c>
      <c r="AP99" t="inlineStr">
        <is>
          <t>Серавкин Д.В.</t>
        </is>
      </c>
      <c r="AQ99" t="inlineStr">
        <is>
          <t>Начиная с деблокир.</t>
        </is>
      </c>
      <c r="AR99" t="inlineStr">
        <is>
          <t>Срочная потребность</t>
        </is>
      </c>
      <c r="AS99" t="inlineStr">
        <is>
          <t>L</t>
        </is>
      </c>
      <c r="AT99" t="inlineStr">
        <is>
          <t>Складская позиция</t>
        </is>
      </c>
      <c r="AU99" t="inlineStr">
        <is>
          <t>АО «Развитие» Иркутс</t>
        </is>
      </c>
      <c r="AV99" t="inlineStr">
        <is>
          <t>7102/100</t>
        </is>
      </c>
      <c r="AW99" t="inlineStr">
        <is>
          <t>Механика</t>
        </is>
      </c>
      <c r="AX99" t="inlineStr">
        <is>
          <t>Taiyuan Heavy Industry</t>
        </is>
      </c>
      <c r="AY99" t="inlineStr">
        <is>
          <t>TZ</t>
        </is>
      </c>
      <c r="AZ99" t="n">
        <v>4865706.7</v>
      </c>
      <c r="BA99" t="n">
        <v>486570.67</v>
      </c>
      <c r="BB99" t="n">
        <v>10</v>
      </c>
      <c r="BC99" t="n">
        <v>0</v>
      </c>
      <c r="BD99" t="n">
        <v>0</v>
      </c>
      <c r="BF99" t="n">
        <v>0</v>
      </c>
      <c r="BG99" t="n">
        <v>0</v>
      </c>
      <c r="BH99" t="n">
        <v>0</v>
      </c>
    </row>
    <row r="100">
      <c r="B100" t="inlineStr">
        <is>
          <t>ООО "Полюс Сухой Лог"</t>
        </is>
      </c>
      <c r="C100" t="inlineStr">
        <is>
          <t>Погрузка</t>
        </is>
      </c>
      <c r="D100" t="inlineStr">
        <is>
          <t>Погрузка</t>
        </is>
      </c>
      <c r="E100" t="inlineStr">
        <is>
          <t>OPEX УПА (CAPEX Рудных БЕ)</t>
        </is>
      </c>
      <c r="F100" t="inlineStr">
        <is>
          <t>Экскаватор электрический WK-20 №1220</t>
        </is>
      </c>
      <c r="G100" t="inlineStr">
        <is>
          <t>100000133802</t>
        </is>
      </c>
      <c r="H100" t="inlineStr">
        <is>
          <t>1220</t>
        </is>
      </c>
      <c r="I100" t="inlineStr">
        <is>
          <t>Экскаватор электрический WK-20 №1220</t>
        </is>
      </c>
      <c r="J100" t="inlineStr">
        <is>
          <t>06-ATC-EKSK-OOBR-EXCV-EX04</t>
        </is>
      </c>
      <c r="K100" t="inlineStr">
        <is>
          <t>01.03.2024</t>
        </is>
      </c>
      <c r="L100" t="inlineStr">
        <is>
          <t>01.03.2024</t>
        </is>
      </c>
      <c r="M100" t="inlineStr">
        <is>
          <t>30.06.2039</t>
        </is>
      </c>
      <c r="N100" t="inlineStr">
        <is>
          <t>1102732569</t>
        </is>
      </c>
      <c r="O100" t="inlineStr">
        <is>
          <t>ТР РО WK-20 №1220</t>
        </is>
      </c>
      <c r="P100" t="inlineStr">
        <is>
          <t>#</t>
        </is>
      </c>
      <c r="Q100" t="inlineStr">
        <is>
          <t>01.06.2027</t>
        </is>
      </c>
      <c r="R100" t="inlineStr">
        <is>
          <t>03.06.2027</t>
        </is>
      </c>
      <c r="S100" t="inlineStr">
        <is>
          <t>Хоз.способ</t>
        </is>
      </c>
      <c r="T100" t="inlineStr">
        <is>
          <t>XS</t>
        </is>
      </c>
      <c r="U100" t="inlineStr">
        <is>
          <t>ПКАЛ  ОБСЗ  ДМНП  ОТКР</t>
        </is>
      </c>
      <c r="V100" t="inlineStr">
        <is>
          <t>СРОЧ  ТОПЗ  ПТОГ  СГГС  ГОД  МТРЦ  КРМТ</t>
        </is>
      </c>
      <c r="W100" t="inlineStr">
        <is>
          <t>Участок по ТОиР ТТ б</t>
        </is>
      </c>
      <c r="X100" t="inlineStr">
        <is>
          <t>APP1</t>
        </is>
      </c>
      <c r="Y100" t="inlineStr">
        <is>
          <t>ТОРО по ППР</t>
        </is>
      </c>
      <c r="Z100" t="inlineStr">
        <is>
          <t>Текущий ремонт</t>
        </is>
      </c>
      <c r="AA100" t="inlineStr">
        <is>
          <t>ТР</t>
        </is>
      </c>
      <c r="AB100" t="inlineStr">
        <is>
          <t>Парк экскаваторов WK-20</t>
        </is>
      </c>
      <c r="AC100" t="inlineStr">
        <is>
          <t>Парк экскаваторов WK-20</t>
        </is>
      </c>
      <c r="AD100" t="inlineStr">
        <is>
          <t>WK-20</t>
        </is>
      </c>
      <c r="AE100" t="inlineStr">
        <is>
          <t>Ось K1602.03.10.01 TZ</t>
        </is>
      </c>
      <c r="AF100" t="inlineStr">
        <is>
          <t>975500</t>
        </is>
      </c>
      <c r="AG100" t="inlineStr">
        <is>
          <t>K1602.03.10.01</t>
        </is>
      </c>
      <c r="AH100" t="inlineStr">
        <is>
          <t>01.06.2027</t>
        </is>
      </c>
      <c r="AI100" t="inlineStr">
        <is>
          <t>#</t>
        </is>
      </c>
      <c r="AJ100" t="inlineStr">
        <is>
          <t>X</t>
        </is>
      </c>
      <c r="AK100" t="inlineStr">
        <is>
          <t>Калькуляц.: 100% релеван.</t>
        </is>
      </c>
      <c r="AL100" t="inlineStr">
        <is>
          <t>12.08.2026</t>
        </is>
      </c>
      <c r="AM100" t="inlineStr">
        <is>
          <t>Зап. к экск. WK</t>
        </is>
      </c>
      <c r="AN100" t="inlineStr">
        <is>
          <t>3.1.2.7</t>
        </is>
      </c>
      <c r="AO100" t="inlineStr">
        <is>
          <t>3H2</t>
        </is>
      </c>
      <c r="AP100" t="inlineStr">
        <is>
          <t>Серавкин Д.В.</t>
        </is>
      </c>
      <c r="AQ100" t="inlineStr">
        <is>
          <t>Начиная с деблокир.</t>
        </is>
      </c>
      <c r="AR100" t="inlineStr">
        <is>
          <t>Срочная потребность</t>
        </is>
      </c>
      <c r="AS100" t="inlineStr">
        <is>
          <t>L</t>
        </is>
      </c>
      <c r="AT100" t="inlineStr">
        <is>
          <t>Складская позиция</t>
        </is>
      </c>
      <c r="AU100" t="inlineStr">
        <is>
          <t>АО «Развитие» Иркутс</t>
        </is>
      </c>
      <c r="AV100" t="inlineStr">
        <is>
          <t>7102/100</t>
        </is>
      </c>
      <c r="AW100" t="inlineStr">
        <is>
          <t>Механика</t>
        </is>
      </c>
      <c r="AX100" t="inlineStr">
        <is>
          <t>Taiyuan Heavy Industry</t>
        </is>
      </c>
      <c r="AY100" t="inlineStr">
        <is>
          <t>TZ</t>
        </is>
      </c>
      <c r="AZ100" t="n">
        <v>505057.2</v>
      </c>
      <c r="BA100" t="n">
        <v>505057.2</v>
      </c>
      <c r="BB100" t="n">
        <v>1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</row>
    <row r="101">
      <c r="B101" t="inlineStr">
        <is>
          <t>ООО "Полюс Сухой Лог"</t>
        </is>
      </c>
      <c r="C101" t="inlineStr">
        <is>
          <t>Погрузка</t>
        </is>
      </c>
      <c r="D101" t="inlineStr">
        <is>
          <t>Погрузка</t>
        </is>
      </c>
      <c r="E101" t="inlineStr">
        <is>
          <t>OPEX УПА (CAPEX Рудных БЕ)</t>
        </is>
      </c>
      <c r="F101" t="inlineStr">
        <is>
          <t>Экскаватор электрический WK-20 №1220</t>
        </is>
      </c>
      <c r="G101" t="inlineStr">
        <is>
          <t>100000133802</t>
        </is>
      </c>
      <c r="H101" t="inlineStr">
        <is>
          <t>1220</t>
        </is>
      </c>
      <c r="I101" t="inlineStr">
        <is>
          <t>Экскаватор электрический WK-20 №1220</t>
        </is>
      </c>
      <c r="J101" t="inlineStr">
        <is>
          <t>06-ATC-EKSK-OOBR-EXCV-EX04</t>
        </is>
      </c>
      <c r="K101" t="inlineStr">
        <is>
          <t>01.03.2024</t>
        </is>
      </c>
      <c r="L101" t="inlineStr">
        <is>
          <t>01.03.2024</t>
        </is>
      </c>
      <c r="M101" t="inlineStr">
        <is>
          <t>30.06.2039</t>
        </is>
      </c>
      <c r="N101" t="inlineStr">
        <is>
          <t>1102732569</t>
        </is>
      </c>
      <c r="O101" t="inlineStr">
        <is>
          <t>ТР РО WK-20 №1220</t>
        </is>
      </c>
      <c r="P101" t="inlineStr">
        <is>
          <t>#</t>
        </is>
      </c>
      <c r="Q101" t="inlineStr">
        <is>
          <t>01.06.2027</t>
        </is>
      </c>
      <c r="R101" t="inlineStr">
        <is>
          <t>03.06.2027</t>
        </is>
      </c>
      <c r="S101" t="inlineStr">
        <is>
          <t>Хоз.способ</t>
        </is>
      </c>
      <c r="T101" t="inlineStr">
        <is>
          <t>XS</t>
        </is>
      </c>
      <c r="U101" t="inlineStr">
        <is>
          <t>ПКАЛ  ОБСЗ  ДМНП  ОТКР</t>
        </is>
      </c>
      <c r="V101" t="inlineStr">
        <is>
          <t>СРОЧ  ТОПЗ  ПТОГ  СГГС  ГОД  МТРЦ  КРМТ</t>
        </is>
      </c>
      <c r="W101" t="inlineStr">
        <is>
          <t>Участок по ТОиР ТТ б</t>
        </is>
      </c>
      <c r="X101" t="inlineStr">
        <is>
          <t>APP1</t>
        </is>
      </c>
      <c r="Y101" t="inlineStr">
        <is>
          <t>ТОРО по ППР</t>
        </is>
      </c>
      <c r="Z101" t="inlineStr">
        <is>
          <t>Текущий ремонт</t>
        </is>
      </c>
      <c r="AA101" t="inlineStr">
        <is>
          <t>ТР</t>
        </is>
      </c>
      <c r="AB101" t="inlineStr">
        <is>
          <t>Парк экскаваторов WK-20</t>
        </is>
      </c>
      <c r="AC101" t="inlineStr">
        <is>
          <t>Парк экскаваторов WK-20</t>
        </is>
      </c>
      <c r="AD101" t="inlineStr">
        <is>
          <t>WK-20</t>
        </is>
      </c>
      <c r="AE101" t="inlineStr">
        <is>
          <t>Палец стрелы K1602.03.03.00 TZ</t>
        </is>
      </c>
      <c r="AF101" t="inlineStr">
        <is>
          <t>1154128</t>
        </is>
      </c>
      <c r="AG101" t="inlineStr">
        <is>
          <t>K1602.03.03.00</t>
        </is>
      </c>
      <c r="AH101" t="inlineStr">
        <is>
          <t>01.06.2027</t>
        </is>
      </c>
      <c r="AI101" t="inlineStr">
        <is>
          <t>#</t>
        </is>
      </c>
      <c r="AJ101" t="inlineStr">
        <is>
          <t>X</t>
        </is>
      </c>
      <c r="AK101" t="inlineStr">
        <is>
          <t>Калькуляц.: 100% релеван.</t>
        </is>
      </c>
      <c r="AL101" t="inlineStr">
        <is>
          <t>12.08.2026</t>
        </is>
      </c>
      <c r="AM101" t="inlineStr">
        <is>
          <t>Зап. к экск. WK</t>
        </is>
      </c>
      <c r="AN101" t="inlineStr">
        <is>
          <t>3.1.2.7</t>
        </is>
      </c>
      <c r="AO101" t="inlineStr">
        <is>
          <t>3H2</t>
        </is>
      </c>
      <c r="AP101" t="inlineStr">
        <is>
          <t>Серавкин Д.В.</t>
        </is>
      </c>
      <c r="AQ101" t="inlineStr">
        <is>
          <t>Начиная с деблокир.</t>
        </is>
      </c>
      <c r="AR101" t="inlineStr">
        <is>
          <t>Срочная потребность</t>
        </is>
      </c>
      <c r="AS101" t="inlineStr">
        <is>
          <t>L</t>
        </is>
      </c>
      <c r="AT101" t="inlineStr">
        <is>
          <t>Складская позиция</t>
        </is>
      </c>
      <c r="AU101" t="inlineStr">
        <is>
          <t>АО «Развитие» Иркутс</t>
        </is>
      </c>
      <c r="AV101" t="inlineStr">
        <is>
          <t>7102/100</t>
        </is>
      </c>
      <c r="AW101" t="inlineStr">
        <is>
          <t>Механика</t>
        </is>
      </c>
      <c r="AX101" t="inlineStr">
        <is>
          <t>Taiyuan Heavy Industry</t>
        </is>
      </c>
      <c r="AY101" t="inlineStr">
        <is>
          <t>TZ</t>
        </is>
      </c>
      <c r="AZ101" t="n">
        <v>450798.84</v>
      </c>
      <c r="BA101" t="n">
        <v>225399.42</v>
      </c>
      <c r="BB101" t="n">
        <v>2</v>
      </c>
      <c r="BC101" t="n">
        <v>0</v>
      </c>
      <c r="BD101" t="n">
        <v>0</v>
      </c>
      <c r="BF101" t="n">
        <v>0</v>
      </c>
      <c r="BG101" t="n">
        <v>0</v>
      </c>
      <c r="BH101" t="n">
        <v>0</v>
      </c>
    </row>
    <row r="102">
      <c r="B102" t="inlineStr">
        <is>
          <t>ООО "Полюс Сухой Лог"</t>
        </is>
      </c>
      <c r="C102" t="inlineStr">
        <is>
          <t>Погрузка</t>
        </is>
      </c>
      <c r="D102" t="inlineStr">
        <is>
          <t>Погрузка</t>
        </is>
      </c>
      <c r="E102" t="inlineStr">
        <is>
          <t>OPEX УПА (CAPEX Рудных БЕ)</t>
        </is>
      </c>
      <c r="F102" t="inlineStr">
        <is>
          <t>Экскаватор электрический WK-20 №1220</t>
        </is>
      </c>
      <c r="G102" t="inlineStr">
        <is>
          <t>100000133802</t>
        </is>
      </c>
      <c r="H102" t="inlineStr">
        <is>
          <t>1220</t>
        </is>
      </c>
      <c r="I102" t="inlineStr">
        <is>
          <t>Экскаватор электрический WK-20 №1220</t>
        </is>
      </c>
      <c r="J102" t="inlineStr">
        <is>
          <t>06-ATC-EKSK-OOBR-EXCV-EX04</t>
        </is>
      </c>
      <c r="K102" t="inlineStr">
        <is>
          <t>01.03.2024</t>
        </is>
      </c>
      <c r="L102" t="inlineStr">
        <is>
          <t>01.03.2024</t>
        </is>
      </c>
      <c r="M102" t="inlineStr">
        <is>
          <t>30.06.2039</t>
        </is>
      </c>
      <c r="N102" t="inlineStr">
        <is>
          <t>1102732569</t>
        </is>
      </c>
      <c r="O102" t="inlineStr">
        <is>
          <t>ТР РО WK-20 №1220</t>
        </is>
      </c>
      <c r="P102" t="inlineStr">
        <is>
          <t>#</t>
        </is>
      </c>
      <c r="Q102" t="inlineStr">
        <is>
          <t>01.06.2027</t>
        </is>
      </c>
      <c r="R102" t="inlineStr">
        <is>
          <t>03.06.2027</t>
        </is>
      </c>
      <c r="S102" t="inlineStr">
        <is>
          <t>Хоз.способ</t>
        </is>
      </c>
      <c r="T102" t="inlineStr">
        <is>
          <t>XS</t>
        </is>
      </c>
      <c r="U102" t="inlineStr">
        <is>
          <t>ПКАЛ  ОБСЗ  ДМНП  ОТКР</t>
        </is>
      </c>
      <c r="V102" t="inlineStr">
        <is>
          <t>СРОЧ  ТОПЗ  ПТОГ  СГГС  ГОД  МТРЦ  КРМТ</t>
        </is>
      </c>
      <c r="W102" t="inlineStr">
        <is>
          <t>Участок по ТОиР ТТ б</t>
        </is>
      </c>
      <c r="X102" t="inlineStr">
        <is>
          <t>APP1</t>
        </is>
      </c>
      <c r="Y102" t="inlineStr">
        <is>
          <t>ТОРО по ППР</t>
        </is>
      </c>
      <c r="Z102" t="inlineStr">
        <is>
          <t>Текущий ремонт</t>
        </is>
      </c>
      <c r="AA102" t="inlineStr">
        <is>
          <t>ТР</t>
        </is>
      </c>
      <c r="AB102" t="inlineStr">
        <is>
          <t>Парк экскаваторов WK-20</t>
        </is>
      </c>
      <c r="AC102" t="inlineStr">
        <is>
          <t>Парк экскаваторов WK-20</t>
        </is>
      </c>
      <c r="AD102" t="inlineStr">
        <is>
          <t>WK-20</t>
        </is>
      </c>
      <c r="AE102" t="inlineStr">
        <is>
          <t>Подшипник K1602.03.10.03 TZ</t>
        </is>
      </c>
      <c r="AF102" t="inlineStr">
        <is>
          <t>1083952</t>
        </is>
      </c>
      <c r="AG102" t="inlineStr">
        <is>
          <t>K1602.03.10.03</t>
        </is>
      </c>
      <c r="AH102" t="inlineStr">
        <is>
          <t>01.06.2027</t>
        </is>
      </c>
      <c r="AI102" t="inlineStr">
        <is>
          <t>#</t>
        </is>
      </c>
      <c r="AJ102" t="inlineStr">
        <is>
          <t>X</t>
        </is>
      </c>
      <c r="AK102" t="inlineStr">
        <is>
          <t>Калькуляц.: 100% релеван.</t>
        </is>
      </c>
      <c r="AL102" t="inlineStr">
        <is>
          <t>12.08.2026</t>
        </is>
      </c>
      <c r="AM102" t="inlineStr">
        <is>
          <t>Зап. к экск. WK</t>
        </is>
      </c>
      <c r="AN102" t="inlineStr">
        <is>
          <t>3.1.2.7</t>
        </is>
      </c>
      <c r="AO102" t="inlineStr">
        <is>
          <t>3H2</t>
        </is>
      </c>
      <c r="AP102" t="inlineStr">
        <is>
          <t>Серавкин Д.В.</t>
        </is>
      </c>
      <c r="AQ102" t="inlineStr">
        <is>
          <t>Начиная с деблокир.</t>
        </is>
      </c>
      <c r="AR102" t="inlineStr">
        <is>
          <t>Срочная потребность</t>
        </is>
      </c>
      <c r="AS102" t="inlineStr">
        <is>
          <t>L</t>
        </is>
      </c>
      <c r="AT102" t="inlineStr">
        <is>
          <t>Складская позиция</t>
        </is>
      </c>
      <c r="AU102" t="inlineStr">
        <is>
          <t>АО «Развитие» Иркутс</t>
        </is>
      </c>
      <c r="AV102" t="inlineStr">
        <is>
          <t>7102/100</t>
        </is>
      </c>
      <c r="AW102" t="inlineStr">
        <is>
          <t>Механика</t>
        </is>
      </c>
      <c r="AX102" t="inlineStr">
        <is>
          <t>Taiyuan Heavy Industry</t>
        </is>
      </c>
      <c r="AY102" t="inlineStr">
        <is>
          <t>TZ</t>
        </is>
      </c>
      <c r="AZ102" t="n">
        <v>5605438.4</v>
      </c>
      <c r="BA102" t="n">
        <v>1401359.6</v>
      </c>
      <c r="BB102" t="n">
        <v>4</v>
      </c>
      <c r="BC102" t="n">
        <v>0</v>
      </c>
      <c r="BD102" t="n">
        <v>0</v>
      </c>
      <c r="BF102" t="n">
        <v>0</v>
      </c>
      <c r="BG102" t="n">
        <v>0</v>
      </c>
      <c r="BH102" t="n">
        <v>0</v>
      </c>
    </row>
    <row r="103">
      <c r="B103" t="inlineStr">
        <is>
          <t>ООО "Полюс Сухой Лог"</t>
        </is>
      </c>
      <c r="C103" t="inlineStr">
        <is>
          <t>Погрузка</t>
        </is>
      </c>
      <c r="D103" t="inlineStr">
        <is>
          <t>Погрузка</t>
        </is>
      </c>
      <c r="E103" t="inlineStr">
        <is>
          <t>OPEX УПА (CAPEX Рудных БЕ)</t>
        </is>
      </c>
      <c r="F103" t="inlineStr">
        <is>
          <t>Экскаватор электрический WK-20 №1220</t>
        </is>
      </c>
      <c r="G103" t="inlineStr">
        <is>
          <t>100000133802</t>
        </is>
      </c>
      <c r="H103" t="inlineStr">
        <is>
          <t>1220</t>
        </is>
      </c>
      <c r="I103" t="inlineStr">
        <is>
          <t>Экскаватор электрический WK-20 №1220</t>
        </is>
      </c>
      <c r="J103" t="inlineStr">
        <is>
          <t>06-ATC-EKSK-OOBR-EXCV-EX04</t>
        </is>
      </c>
      <c r="K103" t="inlineStr">
        <is>
          <t>01.03.2024</t>
        </is>
      </c>
      <c r="L103" t="inlineStr">
        <is>
          <t>01.03.2024</t>
        </is>
      </c>
      <c r="M103" t="inlineStr">
        <is>
          <t>30.06.2039</t>
        </is>
      </c>
      <c r="N103" t="inlineStr">
        <is>
          <t>1102732569</t>
        </is>
      </c>
      <c r="O103" t="inlineStr">
        <is>
          <t>ТР РО WK-20 №1220</t>
        </is>
      </c>
      <c r="P103" t="inlineStr">
        <is>
          <t>#</t>
        </is>
      </c>
      <c r="Q103" t="inlineStr">
        <is>
          <t>01.06.2027</t>
        </is>
      </c>
      <c r="R103" t="inlineStr">
        <is>
          <t>03.06.2027</t>
        </is>
      </c>
      <c r="S103" t="inlineStr">
        <is>
          <t>Хоз.способ</t>
        </is>
      </c>
      <c r="T103" t="inlineStr">
        <is>
          <t>XS</t>
        </is>
      </c>
      <c r="U103" t="inlineStr">
        <is>
          <t>ПКАЛ  ОБСЗ  ДМНП  ОТКР</t>
        </is>
      </c>
      <c r="V103" t="inlineStr">
        <is>
          <t>СРОЧ  ТОПЗ  ПТОГ  СГГС  ГОД  МТРЦ  КРМТ</t>
        </is>
      </c>
      <c r="W103" t="inlineStr">
        <is>
          <t>Участок по ТОиР ТТ б</t>
        </is>
      </c>
      <c r="X103" t="inlineStr">
        <is>
          <t>APP1</t>
        </is>
      </c>
      <c r="Y103" t="inlineStr">
        <is>
          <t>ТОРО по ППР</t>
        </is>
      </c>
      <c r="Z103" t="inlineStr">
        <is>
          <t>Текущий ремонт</t>
        </is>
      </c>
      <c r="AA103" t="inlineStr">
        <is>
          <t>ТР</t>
        </is>
      </c>
      <c r="AB103" t="inlineStr">
        <is>
          <t>Парк экскаваторов WK-20</t>
        </is>
      </c>
      <c r="AC103" t="inlineStr">
        <is>
          <t>Парк экскаваторов WK-20</t>
        </is>
      </c>
      <c r="AD103" t="inlineStr">
        <is>
          <t>WK-20</t>
        </is>
      </c>
      <c r="AE103" t="inlineStr">
        <is>
          <t>Ролик стрелы верх. K1629.03.10.00 TZ</t>
        </is>
      </c>
      <c r="AF103" t="inlineStr">
        <is>
          <t>1249574</t>
        </is>
      </c>
      <c r="AG103" t="inlineStr">
        <is>
          <t>K1629.03.10.00</t>
        </is>
      </c>
      <c r="AH103" t="inlineStr">
        <is>
          <t>01.06.2027</t>
        </is>
      </c>
      <c r="AI103" t="inlineStr">
        <is>
          <t>#</t>
        </is>
      </c>
      <c r="AJ103" t="inlineStr">
        <is>
          <t>X</t>
        </is>
      </c>
      <c r="AK103" t="inlineStr">
        <is>
          <t>Калькуляц.: 100% релеван.</t>
        </is>
      </c>
      <c r="AL103" t="inlineStr">
        <is>
          <t>12.08.2026</t>
        </is>
      </c>
      <c r="AM103" t="inlineStr">
        <is>
          <t>Зап. к экск. WK</t>
        </is>
      </c>
      <c r="AN103" t="inlineStr">
        <is>
          <t>3.1.2.7</t>
        </is>
      </c>
      <c r="AO103" t="inlineStr">
        <is>
          <t>3H2</t>
        </is>
      </c>
      <c r="AP103" t="inlineStr">
        <is>
          <t>Серавкин Д.В.</t>
        </is>
      </c>
      <c r="AQ103" t="inlineStr">
        <is>
          <t>Начиная с деблокир.</t>
        </is>
      </c>
      <c r="AR103" t="inlineStr">
        <is>
          <t>Срочная потребность</t>
        </is>
      </c>
      <c r="AS103" t="inlineStr">
        <is>
          <t>L</t>
        </is>
      </c>
      <c r="AT103" t="inlineStr">
        <is>
          <t>Складская позиция</t>
        </is>
      </c>
      <c r="AU103" t="inlineStr">
        <is>
          <t>АО «Развитие» Иркутс</t>
        </is>
      </c>
      <c r="AV103" t="inlineStr">
        <is>
          <t>7102/100</t>
        </is>
      </c>
      <c r="AW103" t="inlineStr">
        <is>
          <t>Механика</t>
        </is>
      </c>
      <c r="AX103" t="inlineStr">
        <is>
          <t>Taiyuan Heavy Industry</t>
        </is>
      </c>
      <c r="AY103" t="inlineStr">
        <is>
          <t>TZ</t>
        </is>
      </c>
      <c r="AZ103" t="n">
        <v>7047830.25</v>
      </c>
      <c r="BA103" t="n">
        <v>7047830.25</v>
      </c>
      <c r="BB103" t="n">
        <v>1</v>
      </c>
      <c r="BC103" t="n">
        <v>0</v>
      </c>
      <c r="BD103" t="n">
        <v>0</v>
      </c>
      <c r="BF103" t="n">
        <v>0</v>
      </c>
      <c r="BG103" t="n">
        <v>0</v>
      </c>
      <c r="BH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2026-09-25T05:56:42Z</dcterms:created>
  <dcterms:modified xmlns:dcterms="http://purl.org/dc/terms/" xmlns:xsi="http://www.w3.org/2001/XMLSchema-instance" xsi:type="dcterms:W3CDTF">2026-09-25T05:56:42Z</dcterms:modified>
</cp:coreProperties>
</file>