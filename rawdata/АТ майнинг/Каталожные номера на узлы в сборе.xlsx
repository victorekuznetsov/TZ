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8800" windowHeight="817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9" i="1"/>
  <c r="C59" i="1"/>
  <c r="C44" i="1"/>
  <c r="B44" i="1"/>
  <c r="E41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C5" i="1"/>
  <c r="C6" i="1"/>
  <c r="C7" i="1"/>
  <c r="C10" i="1"/>
  <c r="C11" i="1"/>
  <c r="C12" i="1"/>
  <c r="C13" i="1"/>
  <c r="C16" i="1"/>
  <c r="C17" i="1"/>
  <c r="C18" i="1"/>
  <c r="C4" i="1"/>
  <c r="B10" i="1"/>
  <c r="B11" i="1"/>
  <c r="B12" i="1"/>
  <c r="B13" i="1"/>
  <c r="B16" i="1"/>
  <c r="B17" i="1"/>
  <c r="B18" i="1"/>
  <c r="B5" i="1"/>
  <c r="B6" i="1"/>
  <c r="B7" i="1"/>
  <c r="B4" i="1"/>
  <c r="E5" i="1"/>
  <c r="E6" i="1"/>
  <c r="E7" i="1"/>
  <c r="E10" i="1"/>
  <c r="E11" i="1"/>
  <c r="E12" i="1"/>
  <c r="E13" i="1"/>
  <c r="E16" i="1"/>
  <c r="E17" i="1"/>
  <c r="E18" i="1"/>
  <c r="E4" i="1"/>
  <c r="E3" i="1" s="1"/>
  <c r="E25" i="1"/>
  <c r="E24" i="1"/>
  <c r="C24" i="1"/>
  <c r="B25" i="1"/>
  <c r="C23" i="1"/>
  <c r="B24" i="1"/>
  <c r="C25" i="1"/>
  <c r="B23" i="1"/>
  <c r="E22" i="1"/>
  <c r="E23" i="1"/>
  <c r="E15" i="1" l="1"/>
  <c r="E43" i="1"/>
  <c r="E9" i="1"/>
  <c r="E27" i="1"/>
</calcChain>
</file>

<file path=xl/sharedStrings.xml><?xml version="1.0" encoding="utf-8"?>
<sst xmlns="http://schemas.openxmlformats.org/spreadsheetml/2006/main" count="163" uniqueCount="119">
  <si>
    <t>K1625.03.21.21</t>
  </si>
  <si>
    <t>K1625.03.21.19</t>
  </si>
  <si>
    <t>K1625.03.21.15</t>
  </si>
  <si>
    <t>WK-20“推压轴套组件”</t>
  </si>
  <si>
    <t>WK-35“推压轴套组件”</t>
  </si>
  <si>
    <t>K1812.03.21.23</t>
    <phoneticPr fontId="2" type="noConversion"/>
  </si>
  <si>
    <t>K1812.03.21.02.00</t>
  </si>
  <si>
    <t>K1812.03.21.25</t>
    <phoneticPr fontId="2" type="noConversion"/>
  </si>
  <si>
    <t>K1801.03.21.19</t>
  </si>
  <si>
    <t>K1801.05.02.00</t>
  </si>
  <si>
    <t>K1801.05.03.00</t>
  </si>
  <si>
    <t>K1601.05.03.00</t>
  </si>
  <si>
    <t>K1601.05.05.02</t>
  </si>
  <si>
    <t>WK-20“提升减速机组件”</t>
    <phoneticPr fontId="2" type="noConversion"/>
  </si>
  <si>
    <t>WK-35“提升减速机组件”</t>
    <phoneticPr fontId="2" type="noConversion"/>
  </si>
  <si>
    <t>K1801.03.21.01</t>
  </si>
  <si>
    <t>K1801.03.21.02</t>
  </si>
  <si>
    <t>K1801.03.21.03</t>
  </si>
  <si>
    <t>K1801.03.21.04</t>
  </si>
  <si>
    <t>K1601.05.04.00</t>
    <phoneticPr fontId="2" type="noConversion"/>
  </si>
  <si>
    <t>K1601.05.02.00A</t>
    <phoneticPr fontId="2" type="noConversion"/>
  </si>
  <si>
    <t>K1701.05.05.01</t>
    <phoneticPr fontId="2" type="noConversion"/>
  </si>
  <si>
    <t>Шестерня барабана подъема</t>
  </si>
  <si>
    <t>提升卷筒齿轮</t>
  </si>
  <si>
    <t>提升减速箱箱体</t>
    <phoneticPr fontId="2" type="noConversion"/>
  </si>
  <si>
    <t>K1625.03.21.05.00</t>
    <phoneticPr fontId="2" type="noConversion"/>
  </si>
  <si>
    <t>K1625.03.21.01</t>
  </si>
  <si>
    <t>K1625.03.21.02</t>
  </si>
  <si>
    <t>K1625.03.21.03</t>
  </si>
  <si>
    <t>K1625.03.21.04</t>
  </si>
  <si>
    <t>K1625.03.21.05</t>
  </si>
  <si>
    <t>K1625.03.21.06</t>
  </si>
  <si>
    <t>垫片Прокладка</t>
  </si>
  <si>
    <t>K1625.03.21.07</t>
  </si>
  <si>
    <t>GB/T5783</t>
  </si>
  <si>
    <t>GB/T93</t>
  </si>
  <si>
    <t>K1625.03.21.08</t>
  </si>
  <si>
    <t>K1625.03.21.09</t>
  </si>
  <si>
    <t>JB/ZQ4446</t>
  </si>
  <si>
    <t>螺塞 Болт-пробка R3/8</t>
  </si>
  <si>
    <t>轴套 Втулка</t>
  </si>
  <si>
    <t>轴套 Втулка</t>
    <phoneticPr fontId="2" type="noConversion"/>
  </si>
  <si>
    <t>鞍座</t>
  </si>
  <si>
    <t>轴套</t>
  </si>
  <si>
    <t>Втулка</t>
  </si>
  <si>
    <t>衬套</t>
  </si>
  <si>
    <t>水平滑板</t>
  </si>
  <si>
    <t>垫板</t>
  </si>
  <si>
    <t>压板</t>
  </si>
  <si>
    <t>垫片</t>
  </si>
  <si>
    <t>Прокладка</t>
  </si>
  <si>
    <t>螺栓</t>
  </si>
  <si>
    <t>БолтM42X100</t>
  </si>
  <si>
    <t>垫圈</t>
  </si>
  <si>
    <t>销</t>
  </si>
  <si>
    <t>Штифт19X38</t>
  </si>
  <si>
    <t>螺塞</t>
  </si>
  <si>
    <t>Опорный башмак</t>
    <phoneticPr fontId="2" type="noConversion"/>
  </si>
  <si>
    <t>Прокладочный лист</t>
    <phoneticPr fontId="2" type="noConversion"/>
  </si>
  <si>
    <t>Нажимная планка</t>
    <phoneticPr fontId="2" type="noConversion"/>
  </si>
  <si>
    <t>Прокладочное кольцо42</t>
    <phoneticPr fontId="2" type="noConversion"/>
  </si>
  <si>
    <t>Болт-пробка R3/8</t>
    <phoneticPr fontId="2" type="noConversion"/>
  </si>
  <si>
    <t>K1801.04.01.00</t>
  </si>
  <si>
    <t>Комплект напрвляющих роликов тросика ОДК</t>
  </si>
  <si>
    <t>滑轮架组件</t>
  </si>
  <si>
    <t>K1801.03.21.05</t>
  </si>
  <si>
    <t>K1801.03.21.06</t>
  </si>
  <si>
    <t>K1801.03.21.07</t>
  </si>
  <si>
    <t>K1801.03.21.08</t>
  </si>
  <si>
    <t>K1801.03.21.09</t>
  </si>
  <si>
    <t>螺栓 Болт M48X200</t>
  </si>
  <si>
    <t>GB/T97.1</t>
  </si>
  <si>
    <t>垫圈 Шайба 48</t>
  </si>
  <si>
    <t>滑轮架组件 Комплект роликовой опоры</t>
  </si>
  <si>
    <t>K1801.04.01.00</t>
    <phoneticPr fontId="2" type="noConversion"/>
  </si>
  <si>
    <t>鞍座 Седловой подшипник</t>
    <phoneticPr fontId="2" type="noConversion"/>
  </si>
  <si>
    <t>Седловой</t>
  </si>
  <si>
    <t>подшипник</t>
  </si>
  <si>
    <t>Штифт</t>
  </si>
  <si>
    <t>Болт</t>
  </si>
  <si>
    <t>Шайба</t>
  </si>
  <si>
    <t>Комплект</t>
  </si>
  <si>
    <t xml:space="preserve">垫板 </t>
    <phoneticPr fontId="2" type="noConversion"/>
  </si>
  <si>
    <t>Верхний вкладыш седлового подшипника</t>
    <phoneticPr fontId="2" type="noConversion"/>
  </si>
  <si>
    <t xml:space="preserve">压板 </t>
    <phoneticPr fontId="2" type="noConversion"/>
  </si>
  <si>
    <t>Упорная планка</t>
    <phoneticPr fontId="2" type="noConversion"/>
  </si>
  <si>
    <t xml:space="preserve">螺栓 </t>
    <phoneticPr fontId="2" type="noConversion"/>
  </si>
  <si>
    <t>Болт M42X100</t>
    <phoneticPr fontId="2" type="noConversion"/>
  </si>
  <si>
    <t xml:space="preserve">垫圈 </t>
    <phoneticPr fontId="2" type="noConversion"/>
  </si>
  <si>
    <t>Шайба 42</t>
    <phoneticPr fontId="2" type="noConversion"/>
  </si>
  <si>
    <t>螺栓</t>
    <phoneticPr fontId="2" type="noConversion"/>
  </si>
  <si>
    <t>销  Штифт 19X48</t>
    <phoneticPr fontId="2" type="noConversion"/>
  </si>
  <si>
    <t>Болт 48X100</t>
    <phoneticPr fontId="2" type="noConversion"/>
  </si>
  <si>
    <t>螺栓M48X100</t>
    <phoneticPr fontId="2" type="noConversion"/>
  </si>
  <si>
    <t>垫圈48</t>
    <phoneticPr fontId="2" type="noConversion"/>
  </si>
  <si>
    <t>Шайба 48</t>
    <phoneticPr fontId="2" type="noConversion"/>
  </si>
  <si>
    <t>WK-20鞍座组件</t>
    <phoneticPr fontId="2" type="noConversion"/>
  </si>
  <si>
    <t>WK-35鞍座组件</t>
    <phoneticPr fontId="2" type="noConversion"/>
  </si>
  <si>
    <t>K1812.03.21.01.00</t>
    <phoneticPr fontId="2" type="noConversion"/>
  </si>
  <si>
    <t>K1812.03.21.01.00SH</t>
    <phoneticPr fontId="2" type="noConversion"/>
  </si>
  <si>
    <t>K1625.03.21.01.00</t>
    <phoneticPr fontId="2" type="noConversion"/>
  </si>
  <si>
    <t>K1625.03.21.01.00SH</t>
    <phoneticPr fontId="2" type="noConversion"/>
  </si>
  <si>
    <t>K1801.05.04.00</t>
    <phoneticPr fontId="2" type="noConversion"/>
  </si>
  <si>
    <t>K1801.05.04.00SH</t>
    <phoneticPr fontId="2" type="noConversion"/>
  </si>
  <si>
    <t>K1625.03.21.21SH</t>
    <phoneticPr fontId="2" type="noConversion"/>
  </si>
  <si>
    <t>K1812.03.21.23SH</t>
    <phoneticPr fontId="2" type="noConversion"/>
  </si>
  <si>
    <t>件号                                                                Каталожный номер</t>
    <phoneticPr fontId="2" type="noConversion"/>
  </si>
  <si>
    <t>俄文名                                                                                     Название на русском языке</t>
    <phoneticPr fontId="2" type="noConversion"/>
  </si>
  <si>
    <t>中文名                                                                                                             Название на китайском языке</t>
    <phoneticPr fontId="2" type="noConversion"/>
  </si>
  <si>
    <t>数量                    Количество</t>
    <phoneticPr fontId="2" type="noConversion"/>
  </si>
  <si>
    <t>DDP不含税美元报价                                                                                              Цена в долларах США без учета налога на условиях DDP</t>
    <phoneticPr fontId="2" type="noConversion"/>
  </si>
  <si>
    <t xml:space="preserve"> WK-20 "Стакан напорного вала в сборе"</t>
    <phoneticPr fontId="2" type="noConversion"/>
  </si>
  <si>
    <t>WK-35 "Стакан напорного вала в сборе"</t>
    <phoneticPr fontId="2" type="noConversion"/>
  </si>
  <si>
    <t>WK-35 "Редуктор подъёма в сборе"</t>
    <phoneticPr fontId="2" type="noConversion"/>
  </si>
  <si>
    <t xml:space="preserve">Корпус рудуктора подъёма </t>
    <phoneticPr fontId="2" type="noConversion"/>
  </si>
  <si>
    <t>Корпус редуктора подъёма WK-20 сварен на платформе. Нельзя отдельно его предложить.    WK-20提升减速机箱体是焊接在平台上的，无法单独提供报价。</t>
    <phoneticPr fontId="2" type="noConversion"/>
  </si>
  <si>
    <t>WK-20 “Седловой подшипник в сборе”</t>
    <phoneticPr fontId="2" type="noConversion"/>
  </si>
  <si>
    <t>WK-35 “Седловой подшипник в сборе”</t>
    <phoneticPr fontId="2" type="noConversion"/>
  </si>
  <si>
    <t>WK-20 "Редуктор подъёма в сборе"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</si>
</sst>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"/>
  </numFmts>
  <fonts count="6">
    <font>
      <sz val="11"/>
      <color theme="1"/>
      <name val="Calibri"/>
      <family val="2"/>
      <scheme val="minor"/>
    </font>
    <font>
      <sz val="12"/>
      <color rgb="FF7C7C7C"/>
      <name val="仿宋"/>
      <family val="3"/>
      <charset val="134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2"/>
      <color rgb="FF7C7C7C"/>
      <name val="仿宋"/>
      <family val="3"/>
      <charset val="13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4" fillId="0" borderId="2" xfId="0" applyFont="1" applyBorder="1"/>
    <xf numFmtId="164" fontId="5" fillId="0" borderId="3" xfId="0" applyNumberFormat="1" applyFont="1" applyBorder="1"/>
    <xf numFmtId="0" fontId="0" fillId="0" borderId="4" xfId="0" applyBorder="1" applyAlignment="1">
      <alignment vertical="center"/>
    </xf>
    <xf numFmtId="164" fontId="0" fillId="0" borderId="5" xfId="0" applyNumberFormat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64" fontId="0" fillId="0" borderId="8" xfId="0" applyNumberForma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3" xfId="0" applyNumberFormat="1" applyBorder="1"/>
    <xf numFmtId="0" fontId="0" fillId="0" borderId="6" xfId="0" applyBorder="1"/>
    <xf numFmtId="0" fontId="0" fillId="0" borderId="7" xfId="0" applyBorder="1"/>
    <xf numFmtId="0" fontId="4" fillId="0" borderId="9" xfId="0" applyFont="1" applyBorder="1"/>
    <xf numFmtId="0" fontId="5" fillId="0" borderId="10" xfId="0" applyFont="1" applyBorder="1"/>
    <xf numFmtId="0" fontId="4" fillId="0" borderId="10" xfId="0" applyFont="1" applyBorder="1"/>
    <xf numFmtId="164" fontId="5" fillId="0" borderId="11" xfId="0" applyNumberFormat="1" applyFont="1" applyBorder="1"/>
    <xf numFmtId="0" fontId="1" fillId="0" borderId="4" xfId="0" applyFont="1" applyBorder="1"/>
    <xf numFmtId="0" fontId="1" fillId="0" borderId="6" xfId="0" applyFont="1" applyBorder="1"/>
    <xf numFmtId="0" fontId="5" fillId="0" borderId="9" xfId="0" applyFont="1" applyBorder="1"/>
    <xf numFmtId="0" fontId="1" fillId="0" borderId="1" xfId="0" applyFont="1" applyBorder="1"/>
    <xf numFmtId="0" fontId="0" fillId="0" borderId="2" xfId="0" applyBorder="1"/>
    <xf numFmtId="0" fontId="0" fillId="0" borderId="4" xfId="0" applyBorder="1"/>
    <xf numFmtId="0" fontId="0" fillId="2" borderId="4" xfId="0" applyFill="1" applyBorder="1"/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164" fontId="3" fillId="0" borderId="11" xfId="0" applyNumberFormat="1" applyFon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javicind-my.sharepoint.cn/personal/huxudong_avicind_com/Documents/&#24037;&#20316;/&#26085;&#24120;&#24037;&#20316;/&#24120;&#29992;&#21450;&#36817;&#26399;&#25991;&#26723;/&#21508;&#30719;&#23665;&#39033;&#30446;&#38144;&#21806;&#30456;&#20851;&#36164;&#26009;/&#26497;&#22320;&#40644;&#37329;WK-35&amp;WK-20&#25237;&#26631;/&#26497;&#22320;&#40644;&#37329;&#36136;&#20445;&#20214;&#24635;&#34920;&#21450;&#24635;&#25253;&#20215;&#34920;&#21046;&#20316;2017.6/WK-20A&amp;WK-35&#38646;&#20214;&#23551;&#21629;&#28165;&#21333;(&#24635;&#34920;X&#20462;&#25913;&#20215;&#26684;&#21450;&#22411;&#21495;201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并表原件"/>
      <sheetName val="合并表(总表X修改价格及型号2)"/>
      <sheetName val="WK-35备件报价总表（3.25）"/>
      <sheetName val="Sheet1"/>
      <sheetName val="Sheet2"/>
      <sheetName val="合并表(修改出厂价6.1）"/>
      <sheetName val="WK-20A零件寿命清单(总表)"/>
      <sheetName val="WK-35零件寿命清单(总表)"/>
      <sheetName val="合并表(含LINKONE更正）"/>
      <sheetName val="给极地黄金总报价2017.7.21"/>
      <sheetName val="消耗件报价（7.21）"/>
      <sheetName val="对外报价（合并同类项完善消耗7.21）"/>
      <sheetName val="质保件总表9.30（对外价非终版）"/>
      <sheetName val="说明"/>
      <sheetName val="总报价表（对外9.30）"/>
      <sheetName val="Консигнация9.23"/>
      <sheetName val="寄售件最终报价8.23"/>
      <sheetName val="质保件总表9.30 (删102项，增加满洲里3件)"/>
      <sheetName val="消耗件清单（12.19）"/>
      <sheetName val="质保件总表12.18"/>
      <sheetName val="备件报价总表（12.19)"/>
      <sheetName val="备件报价总表（18.3.2)改寿命"/>
      <sheetName val="消耗件清单（3.2)"/>
      <sheetName val="降价消耗件清单（5.25) "/>
      <sheetName val="2021.1新增"/>
      <sheetName val="寄售协议报价单7.18"/>
      <sheetName val="寄售协议9.30 博戴博旧)"/>
      <sheetName val="博戴博协议附件11.6"/>
      <sheetName val="2021.8补充终版"/>
      <sheetName val="Sheet3"/>
      <sheetName val="给KRU的总报价2019.11.5"/>
      <sheetName val="Прайс-лист2021.8"/>
      <sheetName val="Прайс-лист2021.8 (2)"/>
      <sheetName val="备件报价总表（9.30）"/>
      <sheetName val="极地大报价单 (主文件)"/>
      <sheetName val="2023.3极地大报价单（含税率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1">
          <cell r="E1" t="str">
            <v>Прайс-лист на запасные части к экскаваторам WK-20 &amp; WK-35</v>
          </cell>
        </row>
        <row r="2">
          <cell r="E2" t="str">
            <v>Каталожный 
номер/артикул</v>
          </cell>
          <cell r="F2" t="str">
            <v>Наименование запасной части</v>
          </cell>
          <cell r="G2" t="str">
            <v>Цена без НДС, дол.США, DDP ОГОК</v>
          </cell>
          <cell r="J2" t="str">
            <v xml:space="preserve">Китайское Наименование </v>
          </cell>
        </row>
        <row r="3">
          <cell r="E3">
            <v>4</v>
          </cell>
          <cell r="F3">
            <v>5</v>
          </cell>
          <cell r="G3">
            <v>6</v>
          </cell>
          <cell r="J3">
            <v>9</v>
          </cell>
        </row>
        <row r="4">
          <cell r="E4" t="str">
            <v>K1601.30.02.04</v>
          </cell>
          <cell r="F4" t="str">
            <v>Тарельчатая пружина</v>
          </cell>
          <cell r="G4">
            <v>8</v>
          </cell>
          <cell r="J4" t="str">
            <v>碟簧</v>
          </cell>
        </row>
        <row r="5">
          <cell r="E5" t="str">
            <v>K1601.30.07.00</v>
          </cell>
          <cell r="F5" t="str">
            <v>Ось подъёманой балки (коромысла)</v>
          </cell>
          <cell r="G5">
            <v>3505</v>
          </cell>
          <cell r="J5" t="str">
            <v>提梁销</v>
          </cell>
        </row>
        <row r="6">
          <cell r="E6" t="str">
            <v>K1601.31.01</v>
          </cell>
          <cell r="F6" t="str">
            <v>Ось днища ковша</v>
          </cell>
          <cell r="G6">
            <v>2694</v>
          </cell>
          <cell r="J6" t="str">
            <v>弯梁销</v>
          </cell>
        </row>
        <row r="7">
          <cell r="E7" t="str">
            <v>K1622.01.01</v>
          </cell>
          <cell r="F7" t="str">
            <v>Стопор</v>
          </cell>
          <cell r="G7">
            <v>24</v>
          </cell>
          <cell r="J7" t="str">
            <v>挡板</v>
          </cell>
        </row>
        <row r="8">
          <cell r="E8" t="str">
            <v>K1601.30.04</v>
          </cell>
          <cell r="F8" t="str">
            <v>Засов ковша</v>
          </cell>
          <cell r="G8">
            <v>6537</v>
          </cell>
          <cell r="J8" t="str">
            <v>斗栓</v>
          </cell>
        </row>
        <row r="9">
          <cell r="E9" t="str">
            <v>K1601.30.06</v>
          </cell>
          <cell r="F9" t="str">
            <v>Неподвижный держатель засова</v>
          </cell>
          <cell r="G9">
            <v>146</v>
          </cell>
          <cell r="J9" t="str">
            <v>固定座</v>
          </cell>
        </row>
        <row r="10">
          <cell r="E10" t="str">
            <v>K1601.30.08</v>
          </cell>
          <cell r="F10" t="str">
            <v>Регулировочная прокладка</v>
          </cell>
          <cell r="G10">
            <v>41</v>
          </cell>
          <cell r="J10" t="str">
            <v>调整垫</v>
          </cell>
        </row>
        <row r="11">
          <cell r="E11" t="str">
            <v>MB223-80</v>
          </cell>
          <cell r="F11" t="str">
            <v xml:space="preserve">Ступица </v>
          </cell>
          <cell r="G11">
            <v>3453.75</v>
          </cell>
          <cell r="J11" t="str">
            <v>齿套</v>
          </cell>
        </row>
        <row r="12">
          <cell r="E12" t="str">
            <v>K1623.01.09.00</v>
          </cell>
          <cell r="F12" t="str">
            <v>Цепь открывания днища ковша</v>
          </cell>
          <cell r="G12">
            <v>1890</v>
          </cell>
          <cell r="J12" t="str">
            <v>链条组件</v>
          </cell>
        </row>
        <row r="13">
          <cell r="E13" t="str">
            <v>K1601.30.09</v>
          </cell>
          <cell r="F13" t="str">
            <v>Направляющая рамка засова</v>
          </cell>
          <cell r="G13">
            <v>1268</v>
          </cell>
          <cell r="J13" t="str">
            <v>导向座</v>
          </cell>
        </row>
        <row r="14">
          <cell r="E14" t="str">
            <v>GB/T6178 20</v>
          </cell>
          <cell r="F14" t="str">
            <v>Гайка</v>
          </cell>
          <cell r="G14">
            <v>3</v>
          </cell>
          <cell r="J14" t="str">
            <v>螺母M20</v>
          </cell>
        </row>
        <row r="15">
          <cell r="E15" t="str">
            <v>GB/T91 4X40</v>
          </cell>
          <cell r="F15" t="str">
            <v>Штифт 4X40</v>
          </cell>
          <cell r="G15">
            <v>1</v>
          </cell>
          <cell r="J15" t="str">
            <v>销4X40</v>
          </cell>
        </row>
        <row r="16">
          <cell r="E16" t="str">
            <v>K1601.30.22</v>
          </cell>
          <cell r="F16" t="str">
            <v>Болт M30x450</v>
          </cell>
          <cell r="G16">
            <v>184</v>
          </cell>
          <cell r="J16" t="str">
            <v>螺栓M30X450</v>
          </cell>
        </row>
        <row r="17">
          <cell r="E17" t="str">
            <v>GB/T6178 30</v>
          </cell>
          <cell r="F17" t="str">
            <v>Гайка M30</v>
          </cell>
          <cell r="G17">
            <v>4</v>
          </cell>
          <cell r="J17" t="str">
            <v>开槽螺母M30</v>
          </cell>
        </row>
        <row r="18">
          <cell r="E18" t="str">
            <v>GB/T91 5X56</v>
          </cell>
          <cell r="F18" t="str">
            <v>Шплинт 5x56</v>
          </cell>
          <cell r="G18">
            <v>1</v>
          </cell>
          <cell r="J18" t="str">
            <v>开口销5X56</v>
          </cell>
        </row>
        <row r="19">
          <cell r="E19" t="str">
            <v>K1601.30.23</v>
          </cell>
          <cell r="F19" t="str">
            <v>Болт M30x497</v>
          </cell>
          <cell r="G19">
            <v>206</v>
          </cell>
          <cell r="J19" t="str">
            <v>螺栓M30X497</v>
          </cell>
        </row>
        <row r="20">
          <cell r="E20" t="str">
            <v>K1621.01.02</v>
          </cell>
          <cell r="F20" t="str">
            <v>Болт M20x320</v>
          </cell>
          <cell r="G20">
            <v>27</v>
          </cell>
          <cell r="J20" t="str">
            <v>螺栓 M20X320</v>
          </cell>
        </row>
        <row r="21">
          <cell r="E21" t="str">
            <v>K1601.30.01.01</v>
          </cell>
          <cell r="F21" t="str">
            <v>Втулка</v>
          </cell>
          <cell r="G21">
            <v>1229</v>
          </cell>
          <cell r="J21" t="str">
            <v>衬套</v>
          </cell>
        </row>
        <row r="22">
          <cell r="E22" t="str">
            <v>K1602.03.06.00</v>
          </cell>
          <cell r="F22" t="str">
            <v>Концевой выключатель</v>
          </cell>
          <cell r="G22">
            <v>2837.57</v>
          </cell>
          <cell r="J22" t="str">
            <v>起重臂限位开关</v>
          </cell>
        </row>
        <row r="23">
          <cell r="E23" t="str">
            <v>K1601.30.01.02</v>
          </cell>
          <cell r="F23" t="str">
            <v>Втулка</v>
          </cell>
          <cell r="G23">
            <v>475</v>
          </cell>
          <cell r="J23" t="str">
            <v>衬套</v>
          </cell>
        </row>
        <row r="24">
          <cell r="E24" t="str">
            <v>K1601.30.01.03</v>
          </cell>
          <cell r="F24" t="str">
            <v>Втулка</v>
          </cell>
          <cell r="G24">
            <v>310</v>
          </cell>
          <cell r="J24" t="str">
            <v>衬套</v>
          </cell>
        </row>
        <row r="25">
          <cell r="E25" t="str">
            <v>K1601.30.01.04</v>
          </cell>
          <cell r="F25" t="str">
            <v>Втулка</v>
          </cell>
          <cell r="G25">
            <v>541</v>
          </cell>
          <cell r="J25" t="str">
            <v>衬套</v>
          </cell>
        </row>
        <row r="26">
          <cell r="E26" t="str">
            <v>K1601.30.03.34</v>
          </cell>
          <cell r="F26" t="str">
            <v>Втулка</v>
          </cell>
          <cell r="G26">
            <v>633</v>
          </cell>
          <cell r="J26" t="str">
            <v>套</v>
          </cell>
        </row>
        <row r="27">
          <cell r="E27" t="str">
            <v>K1601.30.03.31</v>
          </cell>
          <cell r="F27" t="str">
            <v>Втулка</v>
          </cell>
          <cell r="G27">
            <v>32</v>
          </cell>
          <cell r="J27" t="str">
            <v>套</v>
          </cell>
        </row>
        <row r="28">
          <cell r="E28" t="str">
            <v>K1601.02.02.00</v>
          </cell>
          <cell r="F28" t="str">
            <v>Кремальерная рейка</v>
          </cell>
          <cell r="G28">
            <v>60381</v>
          </cell>
          <cell r="J28" t="str">
            <v>齿条</v>
          </cell>
        </row>
        <row r="29">
          <cell r="E29" t="str">
            <v>K1601.02.03.00</v>
          </cell>
          <cell r="F29" t="str">
            <v>Задний упор</v>
          </cell>
          <cell r="G29">
            <v>1890</v>
          </cell>
          <cell r="J29" t="str">
            <v>后挡板组件</v>
          </cell>
        </row>
        <row r="30">
          <cell r="E30" t="str">
            <v>JB/ZQ4521 M90X2</v>
          </cell>
          <cell r="F30" t="str">
            <v>Фильтр</v>
          </cell>
          <cell r="G30">
            <v>184</v>
          </cell>
          <cell r="J30" t="str">
            <v>过滤器C-M90X2</v>
          </cell>
        </row>
        <row r="31">
          <cell r="E31" t="str">
            <v>K1601.03.01.00-03</v>
          </cell>
          <cell r="F31" t="str">
            <v>Маслоуказатель YWZ-200</v>
          </cell>
          <cell r="G31">
            <v>32</v>
          </cell>
          <cell r="J31" t="str">
            <v>油标YWZ-200</v>
          </cell>
        </row>
        <row r="32">
          <cell r="E32" t="str">
            <v>K1601.03.02.03.00</v>
          </cell>
          <cell r="F32" t="str">
            <v>Шкив ременной передачи</v>
          </cell>
          <cell r="G32">
            <v>5503</v>
          </cell>
          <cell r="J32" t="str">
            <v>皮带轮</v>
          </cell>
        </row>
        <row r="33">
          <cell r="E33" t="str">
            <v>K1602.03.05.00A</v>
          </cell>
          <cell r="F33" t="str">
            <v>Канат вантовой системы</v>
          </cell>
          <cell r="G33">
            <v>16193</v>
          </cell>
          <cell r="J33" t="str">
            <v>绷绳（钢绞线式）</v>
          </cell>
        </row>
        <row r="34">
          <cell r="E34" t="str">
            <v>K1602.03.06.04</v>
          </cell>
          <cell r="F34" t="str">
            <v xml:space="preserve">Нажимная пружина </v>
          </cell>
          <cell r="G34">
            <v>5</v>
          </cell>
          <cell r="J34" t="str">
            <v>压缩弹簧</v>
          </cell>
        </row>
        <row r="35">
          <cell r="E35" t="str">
            <v>K1602.03.06.08</v>
          </cell>
          <cell r="F35" t="str">
            <v>Ролик</v>
          </cell>
          <cell r="G35">
            <v>28</v>
          </cell>
          <cell r="J35" t="str">
            <v>滚轮</v>
          </cell>
        </row>
        <row r="36">
          <cell r="E36" t="str">
            <v>K1601.03.08.01</v>
          </cell>
          <cell r="F36" t="str">
            <v>Направляющий вкладыш</v>
          </cell>
          <cell r="G36">
            <v>210</v>
          </cell>
          <cell r="J36" t="str">
            <v>导向衬块</v>
          </cell>
        </row>
        <row r="37">
          <cell r="E37" t="str">
            <v>K1601.03.08.02</v>
          </cell>
          <cell r="F37" t="str">
            <v>Направляющий вкладыш</v>
          </cell>
          <cell r="G37">
            <v>316</v>
          </cell>
          <cell r="J37" t="str">
            <v>导向衬块</v>
          </cell>
        </row>
        <row r="38">
          <cell r="E38" t="str">
            <v>K1606.03.08.03.00</v>
          </cell>
          <cell r="F38" t="str">
            <v>Роликовая опора</v>
          </cell>
          <cell r="G38">
            <v>1125</v>
          </cell>
          <cell r="J38" t="str">
            <v>托辊</v>
          </cell>
        </row>
        <row r="39">
          <cell r="E39" t="str">
            <v>K1601.03.09.03.01</v>
          </cell>
          <cell r="F39" t="str">
            <v>Буферный блок</v>
          </cell>
          <cell r="G39">
            <v>861</v>
          </cell>
          <cell r="J39" t="str">
            <v>缓冲块</v>
          </cell>
        </row>
        <row r="40">
          <cell r="E40" t="str">
            <v>K1601.03.09.03.200</v>
          </cell>
          <cell r="F40" t="str">
            <v>Штифт D50</v>
          </cell>
          <cell r="G40">
            <v>81</v>
          </cell>
          <cell r="J40" t="str">
            <v>销 D50.8</v>
          </cell>
        </row>
        <row r="41">
          <cell r="E41" t="str">
            <v>K1602.03.10.01</v>
          </cell>
          <cell r="F41" t="str">
            <v>Ось</v>
          </cell>
          <cell r="G41">
            <v>15441</v>
          </cell>
          <cell r="J41" t="str">
            <v>轴</v>
          </cell>
        </row>
        <row r="42">
          <cell r="E42" t="str">
            <v>K1602.03.10.03</v>
          </cell>
          <cell r="F42" t="str">
            <v>Подшипник головных блоков</v>
          </cell>
          <cell r="G42">
            <v>12441</v>
          </cell>
          <cell r="J42" t="str">
            <v>单列轴承</v>
          </cell>
        </row>
        <row r="43">
          <cell r="E43" t="str">
            <v>K1601.03.11.00A</v>
          </cell>
          <cell r="F43" t="str">
            <v>Первичный вал редуктора напора в сборе</v>
          </cell>
          <cell r="G43">
            <v>17010</v>
          </cell>
          <cell r="J43" t="str">
            <v>一级减速轴装置</v>
          </cell>
        </row>
        <row r="44">
          <cell r="E44" t="str">
            <v>MB223</v>
          </cell>
          <cell r="F44" t="str">
            <v>Тормоз механизма напора</v>
          </cell>
          <cell r="G44">
            <v>20620</v>
          </cell>
          <cell r="J44" t="str">
            <v>推压制动器</v>
          </cell>
        </row>
        <row r="45">
          <cell r="E45" t="str">
            <v>P-84</v>
          </cell>
          <cell r="F45" t="str">
            <v>Ручной заправочный насос</v>
          </cell>
          <cell r="G45">
            <v>6788</v>
          </cell>
          <cell r="J45" t="str">
            <v>手油泵</v>
          </cell>
        </row>
        <row r="46">
          <cell r="E46" t="str">
            <v>BRD-166</v>
          </cell>
          <cell r="F46" t="str">
            <v>Гидравлический цилиндр</v>
          </cell>
          <cell r="G46">
            <v>7690</v>
          </cell>
          <cell r="J46" t="str">
            <v>液压缸</v>
          </cell>
        </row>
        <row r="47">
          <cell r="E47" t="str">
            <v>KF-L8/14E</v>
          </cell>
          <cell r="F47" t="str">
            <v>Выключатель манометра</v>
          </cell>
          <cell r="G47">
            <v>49</v>
          </cell>
          <cell r="J47" t="str">
            <v>压力表开关</v>
          </cell>
        </row>
        <row r="48">
          <cell r="E48" t="str">
            <v>YN-63-Ⅲ 0-400bar</v>
          </cell>
          <cell r="F48" t="str">
            <v>Манометр</v>
          </cell>
          <cell r="G48">
            <v>78</v>
          </cell>
          <cell r="J48" t="str">
            <v>压力表</v>
          </cell>
        </row>
        <row r="49">
          <cell r="E49" t="str">
            <v>V-152</v>
          </cell>
          <cell r="F49" t="str">
            <v>Перепускной клапан</v>
          </cell>
          <cell r="G49">
            <v>1697</v>
          </cell>
          <cell r="J49" t="str">
            <v>溢流阀</v>
          </cell>
        </row>
        <row r="50">
          <cell r="E50" t="str">
            <v>K1601.03.18.01</v>
          </cell>
          <cell r="F50" t="str">
            <v>Телескопическая труба</v>
          </cell>
          <cell r="G50">
            <v>50</v>
          </cell>
          <cell r="J50" t="str">
            <v>进风管</v>
          </cell>
        </row>
        <row r="51">
          <cell r="E51" t="str">
            <v>K1601.03.18.03</v>
          </cell>
          <cell r="F51" t="str">
            <v>Сужающаяся труба</v>
          </cell>
          <cell r="G51">
            <v>37</v>
          </cell>
          <cell r="J51" t="str">
            <v>收缩管</v>
          </cell>
        </row>
        <row r="52">
          <cell r="E52" t="str">
            <v>K1601.03.20.00A</v>
          </cell>
          <cell r="F52" t="str">
            <v>Вторичный вал редуктора напора</v>
          </cell>
          <cell r="G52">
            <v>55002</v>
          </cell>
          <cell r="J52" t="str">
            <v>二级减速轴装置</v>
          </cell>
        </row>
        <row r="53">
          <cell r="E53" t="str">
            <v>K1601.03.21.02.00</v>
          </cell>
          <cell r="F53" t="str">
            <v>Кремальерная шестерня напора</v>
          </cell>
          <cell r="G53">
            <v>18232</v>
          </cell>
          <cell r="J53" t="str">
            <v>推压小齿轮</v>
          </cell>
        </row>
        <row r="54">
          <cell r="E54" t="str">
            <v>K1601.03.21.06</v>
          </cell>
          <cell r="F54" t="str">
            <v>Упорная шайба</v>
          </cell>
          <cell r="G54">
            <v>2114</v>
          </cell>
          <cell r="J54" t="str">
            <v>止推垫</v>
          </cell>
        </row>
        <row r="55">
          <cell r="E55" t="str">
            <v>K1601.03.21.04.02</v>
          </cell>
          <cell r="F55" t="str">
            <v>Втулка скольжения</v>
          </cell>
          <cell r="G55">
            <v>1641</v>
          </cell>
          <cell r="J55" t="str">
            <v>鞍座套</v>
          </cell>
        </row>
        <row r="56">
          <cell r="E56" t="str">
            <v>K1601.03.21.05.01</v>
          </cell>
          <cell r="F56" t="str">
            <v>Втулка скольжения</v>
          </cell>
          <cell r="G56">
            <v>1641</v>
          </cell>
          <cell r="J56" t="str">
            <v>鞍座套</v>
          </cell>
        </row>
        <row r="57">
          <cell r="E57" t="str">
            <v>K1601.03.01.07</v>
          </cell>
          <cell r="F57" t="str">
            <v>Бронзовая втулка напораного вала</v>
          </cell>
          <cell r="G57">
            <v>6796</v>
          </cell>
          <cell r="J57" t="str">
            <v>推压铜套</v>
          </cell>
        </row>
        <row r="58">
          <cell r="E58" t="str">
            <v>K1601.03.21.18</v>
          </cell>
          <cell r="F58" t="str">
            <v>Большая шестерня напорного вала</v>
          </cell>
          <cell r="G58">
            <v>85392.56</v>
          </cell>
          <cell r="J58" t="str">
            <v>推压大齿轮</v>
          </cell>
        </row>
        <row r="59">
          <cell r="E59" t="str">
            <v>K1601.03.11.02.00</v>
          </cell>
          <cell r="F59" t="str">
            <v>Шкив ременной передачи</v>
          </cell>
          <cell r="G59">
            <v>5938</v>
          </cell>
          <cell r="J59" t="str">
            <v>皮带轮</v>
          </cell>
        </row>
        <row r="60">
          <cell r="E60" t="str">
            <v>K1612.04.01.00</v>
          </cell>
          <cell r="F60" t="str">
            <v xml:space="preserve">Установка механизма открывания днища ковша </v>
          </cell>
          <cell r="G60">
            <v>19800</v>
          </cell>
          <cell r="J60" t="str">
            <v>卷筒和马达装置</v>
          </cell>
        </row>
        <row r="61">
          <cell r="E61" t="str">
            <v>K1601.04.03.00</v>
          </cell>
          <cell r="F61" t="str">
            <v>Ролик</v>
          </cell>
          <cell r="G61">
            <v>1790</v>
          </cell>
          <cell r="J61" t="str">
            <v>滑轮组件</v>
          </cell>
        </row>
        <row r="62">
          <cell r="E62" t="str">
            <v>K1601.04.04.00</v>
          </cell>
          <cell r="F62" t="str">
            <v>Рычаг механизма открывания днища ковша в сборе</v>
          </cell>
          <cell r="G62">
            <v>4582</v>
          </cell>
          <cell r="J62" t="str">
            <v>开斗杠杆装置</v>
          </cell>
        </row>
        <row r="63">
          <cell r="E63" t="str">
            <v>K1612.04.00-01</v>
          </cell>
          <cell r="F63" t="str">
            <v>Трос открывания днища ковша ∅13-6x36SW+IWR1960</v>
          </cell>
          <cell r="G63">
            <v>136.5</v>
          </cell>
          <cell r="J63" t="str">
            <v>开斗钢丝绳不涂塑       D13-6X36SW+IWR1960 L=32m</v>
          </cell>
        </row>
        <row r="64">
          <cell r="E64" t="str">
            <v>K1601.04.03.06</v>
          </cell>
          <cell r="F64" t="str">
            <v>Кольцо</v>
          </cell>
          <cell r="G64">
            <v>5</v>
          </cell>
          <cell r="J64" t="str">
            <v>平垫圈</v>
          </cell>
        </row>
        <row r="65">
          <cell r="E65" t="str">
            <v>K1601.04.04.02</v>
          </cell>
          <cell r="F65" t="str">
            <v>Фторопластовая втулка</v>
          </cell>
          <cell r="G65">
            <v>12</v>
          </cell>
          <cell r="J65" t="str">
            <v>尼龙套</v>
          </cell>
        </row>
        <row r="66">
          <cell r="E66" t="str">
            <v>K1601.05.02.00</v>
          </cell>
          <cell r="F66" t="str">
            <v>Первичный вал редуктора подъёма в сборе</v>
          </cell>
          <cell r="G66">
            <v>8696</v>
          </cell>
          <cell r="J66" t="str">
            <v>输入轴</v>
          </cell>
        </row>
        <row r="67">
          <cell r="E67" t="str">
            <v>K1601.05.03.00</v>
          </cell>
          <cell r="F67" t="str">
            <v>Вторичный вал редуктора подъёма в сборе</v>
          </cell>
          <cell r="G67">
            <v>66484.72</v>
          </cell>
          <cell r="J67" t="str">
            <v>中间轴</v>
          </cell>
        </row>
        <row r="68">
          <cell r="E68" t="str">
            <v>JB/ZQ4521 M76X2</v>
          </cell>
          <cell r="F68" t="str">
            <v>Фильтр воздуха C-M76X2</v>
          </cell>
          <cell r="G68">
            <v>166</v>
          </cell>
          <cell r="J68" t="str">
            <v>空气过滤器C-M76X2</v>
          </cell>
        </row>
        <row r="69">
          <cell r="E69" t="str">
            <v>K1601.05.05.02</v>
          </cell>
          <cell r="F69" t="str">
            <v>Шестерня барабана подъёма</v>
          </cell>
          <cell r="G69">
            <v>73574</v>
          </cell>
          <cell r="J69" t="str">
            <v>提升卷筒齿轮</v>
          </cell>
        </row>
        <row r="70">
          <cell r="E70" t="str">
            <v>K1601.05.05.01</v>
          </cell>
          <cell r="F70" t="str">
            <v>Болт шестерни  подъёмного барабана</v>
          </cell>
          <cell r="G70">
            <v>68</v>
          </cell>
          <cell r="J70" t="str">
            <v>提升卷筒齿轮螺栓</v>
          </cell>
        </row>
        <row r="71">
          <cell r="E71" t="str">
            <v>GB/T6178 36</v>
          </cell>
          <cell r="F71" t="str">
            <v>Гайка</v>
          </cell>
          <cell r="G71">
            <v>6</v>
          </cell>
          <cell r="J71" t="str">
            <v>螺母M36</v>
          </cell>
        </row>
        <row r="72">
          <cell r="E72" t="str">
            <v>NL36</v>
          </cell>
          <cell r="F72" t="str">
            <v>Стопорная прокладка 36 (пара)</v>
          </cell>
          <cell r="G72">
            <v>20</v>
          </cell>
          <cell r="J72" t="str">
            <v>防松垫片36（成对）</v>
          </cell>
        </row>
        <row r="73">
          <cell r="E73" t="str">
            <v>M255449-M255410CD</v>
          </cell>
          <cell r="F73" t="str">
            <v>Подшипник вала подъёманого барабана</v>
          </cell>
          <cell r="G73">
            <v>17301</v>
          </cell>
          <cell r="J73" t="str">
            <v>提升卷筒轴承</v>
          </cell>
        </row>
        <row r="74">
          <cell r="E74" t="str">
            <v>MB195</v>
          </cell>
          <cell r="F74" t="str">
            <v>Тормоз механизма подъёма</v>
          </cell>
          <cell r="G74">
            <v>29783</v>
          </cell>
          <cell r="J74" t="str">
            <v>提升制动器</v>
          </cell>
        </row>
        <row r="75">
          <cell r="E75" t="str">
            <v>MB195-20</v>
          </cell>
          <cell r="F75" t="str">
            <v>Главная пружина</v>
          </cell>
          <cell r="G75">
            <v>200</v>
          </cell>
          <cell r="J75" t="str">
            <v>主弹簧</v>
          </cell>
        </row>
        <row r="76">
          <cell r="E76" t="str">
            <v>K1602.05.08.00</v>
          </cell>
          <cell r="F76" t="str">
            <v>Муфта двигателя подъёма</v>
          </cell>
          <cell r="G76">
            <v>4111</v>
          </cell>
          <cell r="J76" t="str">
            <v>齿轮联轴节</v>
          </cell>
        </row>
        <row r="77">
          <cell r="E77" t="str">
            <v>JB/ZQ4224 190X8.6</v>
          </cell>
          <cell r="F77" t="str">
            <v>Уплотнительное кольцо в форме О</v>
          </cell>
          <cell r="G77">
            <v>3</v>
          </cell>
          <cell r="J77" t="str">
            <v>O形密封圈190X8.6</v>
          </cell>
        </row>
        <row r="78">
          <cell r="E78" t="str">
            <v>K1604.05.01</v>
          </cell>
          <cell r="F78" t="str">
            <v>Уплотнительное кольцо в форме V</v>
          </cell>
          <cell r="G78">
            <v>5550</v>
          </cell>
          <cell r="J78" t="str">
            <v>V形油封</v>
          </cell>
        </row>
        <row r="79">
          <cell r="E79" t="str">
            <v>K1604.05.02</v>
          </cell>
          <cell r="F79" t="str">
            <v>Кольцо уплотнительное</v>
          </cell>
          <cell r="G79">
            <v>5211</v>
          </cell>
          <cell r="J79" t="str">
            <v>J形无骨油封</v>
          </cell>
        </row>
        <row r="80">
          <cell r="E80" t="str">
            <v>K1602.05.03</v>
          </cell>
          <cell r="F80" t="str">
            <v>Кольцо разделительное</v>
          </cell>
          <cell r="G80">
            <v>713</v>
          </cell>
          <cell r="J80" t="str">
            <v>隔环</v>
          </cell>
        </row>
        <row r="81">
          <cell r="E81" t="str">
            <v>K1623.06.11.01.00</v>
          </cell>
          <cell r="F81" t="str">
            <v>Установка вспомогательных лебёдок</v>
          </cell>
          <cell r="G81">
            <v>13997</v>
          </cell>
          <cell r="J81" t="str">
            <v>电动绞车</v>
          </cell>
        </row>
        <row r="82">
          <cell r="E82" t="str">
            <v>JB/ZQ4521 G1 1/4"</v>
          </cell>
          <cell r="F82" t="str">
            <v>Фильтр воздуха C-G1 1/4"</v>
          </cell>
          <cell r="G82">
            <v>134</v>
          </cell>
          <cell r="J82" t="str">
            <v>空气过滤器C-G1 1/4"</v>
          </cell>
        </row>
        <row r="83">
          <cell r="E83" t="str">
            <v>MB224</v>
          </cell>
          <cell r="F83" t="str">
            <v>Тормоз механизма поворота</v>
          </cell>
          <cell r="G83">
            <v>20620</v>
          </cell>
          <cell r="J83" t="str">
            <v>回转制动器</v>
          </cell>
        </row>
        <row r="84">
          <cell r="E84" t="str">
            <v>GB/T894.1 160</v>
          </cell>
          <cell r="F84" t="str">
            <v>Стопорное кольцо 160</v>
          </cell>
          <cell r="G84">
            <v>25</v>
          </cell>
          <cell r="J84" t="str">
            <v>挡圈160</v>
          </cell>
        </row>
        <row r="85">
          <cell r="E85" t="str">
            <v>K1605.07.01.00</v>
          </cell>
          <cell r="F85" t="str">
            <v>Поворотный вал в сборе</v>
          </cell>
          <cell r="G85">
            <v>55916</v>
          </cell>
          <cell r="J85" t="str">
            <v>回转立轴组件</v>
          </cell>
        </row>
        <row r="86">
          <cell r="E86" t="str">
            <v>K1605.07.02.00</v>
          </cell>
          <cell r="F86" t="str">
            <v>Редуктор поворота</v>
          </cell>
          <cell r="G86">
            <v>193170.15</v>
          </cell>
          <cell r="J86" t="str">
            <v>回转减速机</v>
          </cell>
        </row>
        <row r="87">
          <cell r="E87" t="str">
            <v>K1602.07.03.05.00</v>
          </cell>
          <cell r="F87" t="str">
            <v>Муфта двигателя поворота</v>
          </cell>
          <cell r="G87">
            <v>2004</v>
          </cell>
          <cell r="J87" t="str">
            <v>回转联轴器</v>
          </cell>
        </row>
        <row r="88">
          <cell r="E88" t="str">
            <v>JB/ZQ4224 195X8.6</v>
          </cell>
          <cell r="F88" t="str">
            <v>Уплотнительное кольцо в форме О</v>
          </cell>
          <cell r="G88">
            <v>5</v>
          </cell>
          <cell r="J88" t="str">
            <v>O形密封圈195X8.6</v>
          </cell>
        </row>
        <row r="89">
          <cell r="E89" t="str">
            <v>Q11F-16</v>
          </cell>
          <cell r="F89" t="str">
            <v>Кран заглушки 25</v>
          </cell>
          <cell r="G89">
            <v>80</v>
          </cell>
          <cell r="J89" t="str">
            <v>旋塞阀25</v>
          </cell>
        </row>
        <row r="90">
          <cell r="E90" t="str">
            <v>K1605.09.09.02.00</v>
          </cell>
          <cell r="F90" t="str">
            <v>Пневматический цилиндр</v>
          </cell>
          <cell r="G90">
            <v>1280</v>
          </cell>
          <cell r="J90" t="str">
            <v>气缸</v>
          </cell>
        </row>
        <row r="91">
          <cell r="E91" t="str">
            <v>K1902.09.10.10.03.00</v>
          </cell>
          <cell r="F91" t="str">
            <v>Дверной замок</v>
          </cell>
          <cell r="G91">
            <v>895</v>
          </cell>
          <cell r="J91" t="str">
            <v>进口门锁</v>
          </cell>
        </row>
        <row r="92">
          <cell r="E92" t="str">
            <v>K1605.10.06.01.01.00</v>
          </cell>
          <cell r="F92" t="str">
            <v>Роликовая опора</v>
          </cell>
          <cell r="G92">
            <v>1340</v>
          </cell>
          <cell r="J92" t="str">
            <v>托辊</v>
          </cell>
        </row>
        <row r="93">
          <cell r="E93" t="str">
            <v>K1601.12.03</v>
          </cell>
          <cell r="F93" t="str">
            <v>Сферическая шайба</v>
          </cell>
          <cell r="G93">
            <v>8261</v>
          </cell>
          <cell r="J93" t="str">
            <v>球面垫圈</v>
          </cell>
        </row>
        <row r="94">
          <cell r="E94" t="str">
            <v>K1601.12.04</v>
          </cell>
          <cell r="F94" t="str">
            <v>Упорная шайба</v>
          </cell>
          <cell r="G94">
            <v>1580</v>
          </cell>
          <cell r="J94" t="str">
            <v>止推垫</v>
          </cell>
        </row>
        <row r="95">
          <cell r="E95" t="str">
            <v>K1618.12.09</v>
          </cell>
          <cell r="F95" t="str">
            <v>Фторопластовая втулка</v>
          </cell>
          <cell r="G95">
            <v>21</v>
          </cell>
          <cell r="J95" t="str">
            <v>尼龙套</v>
          </cell>
        </row>
        <row r="96">
          <cell r="E96" t="str">
            <v>K1601.13.01.00</v>
          </cell>
          <cell r="F96" t="str">
            <v>Ролик</v>
          </cell>
          <cell r="G96">
            <v>785</v>
          </cell>
          <cell r="J96" t="str">
            <v>辊子</v>
          </cell>
        </row>
        <row r="97">
          <cell r="E97" t="str">
            <v>K1601.13.02</v>
          </cell>
          <cell r="F97" t="str">
            <v>Штифт</v>
          </cell>
          <cell r="G97">
            <v>40</v>
          </cell>
          <cell r="J97" t="str">
            <v>销</v>
          </cell>
        </row>
        <row r="98">
          <cell r="E98" t="str">
            <v>K1601.13.04</v>
          </cell>
          <cell r="F98" t="str">
            <v>Ось ролика</v>
          </cell>
          <cell r="G98">
            <v>105</v>
          </cell>
          <cell r="J98" t="str">
            <v>销</v>
          </cell>
        </row>
        <row r="99">
          <cell r="E99" t="str">
            <v>K1601.13.06</v>
          </cell>
          <cell r="F99" t="str">
            <v>Шайба</v>
          </cell>
          <cell r="G99">
            <v>9</v>
          </cell>
          <cell r="J99" t="str">
            <v>垫圈</v>
          </cell>
        </row>
        <row r="100">
          <cell r="E100" t="str">
            <v>K1803.16.01.00</v>
          </cell>
          <cell r="F100" t="str">
            <v>Редуктор механизма хода</v>
          </cell>
          <cell r="G100">
            <v>418232.92000000004</v>
          </cell>
          <cell r="J100" t="str">
            <v>行走行星减速机</v>
          </cell>
        </row>
        <row r="101">
          <cell r="E101" t="str">
            <v>K1605.16.03.00</v>
          </cell>
          <cell r="F101" t="str">
            <v>Муфта двигателя хода</v>
          </cell>
          <cell r="G101">
            <v>3733</v>
          </cell>
          <cell r="J101" t="str">
            <v>行走联轴器</v>
          </cell>
        </row>
        <row r="102">
          <cell r="E102" t="str">
            <v>JB/ZQ4224 250X5.7</v>
          </cell>
          <cell r="F102" t="str">
            <v>Уплотнительное кольцо в форме О</v>
          </cell>
          <cell r="G102">
            <v>3</v>
          </cell>
          <cell r="J102" t="str">
            <v>O形密封圈250X5.7</v>
          </cell>
        </row>
        <row r="103">
          <cell r="E103" t="str">
            <v>K1605.16.05.00</v>
          </cell>
          <cell r="F103" t="str">
            <v>Тормоз механизма хода</v>
          </cell>
          <cell r="G103">
            <v>24232</v>
          </cell>
          <cell r="J103" t="str">
            <v>行走制动器</v>
          </cell>
        </row>
        <row r="104">
          <cell r="E104" t="str">
            <v>K1605.18.01.00</v>
          </cell>
          <cell r="F104" t="str">
            <v>Заднее опрное (напрвляющее) колесо в сборе</v>
          </cell>
          <cell r="G104">
            <v>31344</v>
          </cell>
          <cell r="J104" t="str">
            <v>后支轮组件</v>
          </cell>
        </row>
        <row r="105">
          <cell r="E105" t="str">
            <v>K1605.18.01.02</v>
          </cell>
          <cell r="F105" t="str">
            <v>Втулка</v>
          </cell>
          <cell r="G105">
            <v>758</v>
          </cell>
          <cell r="J105" t="str">
            <v>轴套</v>
          </cell>
        </row>
        <row r="106">
          <cell r="E106" t="str">
            <v>K1605.18.01.06</v>
          </cell>
          <cell r="F106" t="str">
            <v>Шайба</v>
          </cell>
          <cell r="G106">
            <v>100</v>
          </cell>
          <cell r="J106" t="str">
            <v>垫圈</v>
          </cell>
        </row>
        <row r="107">
          <cell r="E107" t="str">
            <v>K1605.18.01.07</v>
          </cell>
          <cell r="F107" t="str">
            <v>Уплотнительное кольцо в форме V</v>
          </cell>
          <cell r="G107">
            <v>462</v>
          </cell>
          <cell r="J107" t="str">
            <v>V型密封圈</v>
          </cell>
        </row>
        <row r="108">
          <cell r="E108" t="str">
            <v>K1605.18.02.00</v>
          </cell>
          <cell r="F108" t="str">
            <v>Ведущее колесо в сборе</v>
          </cell>
          <cell r="G108">
            <v>118712.20000000001</v>
          </cell>
          <cell r="J108" t="str">
            <v>驱动轮组件</v>
          </cell>
        </row>
        <row r="109">
          <cell r="E109" t="str">
            <v>K1605.18.03.00</v>
          </cell>
          <cell r="F109" t="str">
            <v>Опорное колесо в сборе</v>
          </cell>
          <cell r="G109">
            <v>24596</v>
          </cell>
          <cell r="J109" t="str">
            <v>支轮组件</v>
          </cell>
        </row>
        <row r="110">
          <cell r="E110" t="str">
            <v>K1605.18.03.02</v>
          </cell>
          <cell r="F110" t="str">
            <v>Медная втулка</v>
          </cell>
          <cell r="G110">
            <v>409</v>
          </cell>
          <cell r="J110" t="str">
            <v>铜套</v>
          </cell>
        </row>
        <row r="111">
          <cell r="E111" t="str">
            <v>K1605.18.03.05</v>
          </cell>
          <cell r="F111" t="str">
            <v>Шайба</v>
          </cell>
          <cell r="G111">
            <v>232</v>
          </cell>
          <cell r="J111" t="str">
            <v>垫圈</v>
          </cell>
        </row>
        <row r="112">
          <cell r="E112" t="str">
            <v>K1605.18.03.07</v>
          </cell>
          <cell r="F112" t="str">
            <v>Уплотнительное кольцо в форме V</v>
          </cell>
          <cell r="G112">
            <v>262</v>
          </cell>
          <cell r="J112" t="str">
            <v>V型密封圈</v>
          </cell>
        </row>
        <row r="113">
          <cell r="E113" t="str">
            <v>K1605.18.06.01</v>
          </cell>
          <cell r="F113" t="str">
            <v>Стопорная шайба</v>
          </cell>
          <cell r="G113">
            <v>226</v>
          </cell>
          <cell r="J113" t="str">
            <v>套筒</v>
          </cell>
        </row>
        <row r="114">
          <cell r="E114" t="str">
            <v>K1605.18.05.00</v>
          </cell>
          <cell r="F114" t="str">
            <v>Натяжное колесо в сборе</v>
          </cell>
          <cell r="G114">
            <v>72258</v>
          </cell>
          <cell r="J114" t="str">
            <v>拉紧轮组件</v>
          </cell>
        </row>
        <row r="115">
          <cell r="E115" t="str">
            <v>K1605.18.05.02</v>
          </cell>
          <cell r="F115" t="str">
            <v>Втулка</v>
          </cell>
          <cell r="G115">
            <v>1194</v>
          </cell>
          <cell r="J115" t="str">
            <v>轴套</v>
          </cell>
        </row>
        <row r="116">
          <cell r="E116" t="str">
            <v>K1605.18.05.11</v>
          </cell>
          <cell r="F116" t="str">
            <v>Уплотнительное кольцо в форме V</v>
          </cell>
          <cell r="G116">
            <v>726</v>
          </cell>
          <cell r="J116" t="str">
            <v>V型密封圈</v>
          </cell>
        </row>
        <row r="117">
          <cell r="E117" t="str">
            <v>K1605.18.05.15</v>
          </cell>
          <cell r="F117" t="str">
            <v>Шайба</v>
          </cell>
          <cell r="G117">
            <v>562</v>
          </cell>
          <cell r="J117" t="str">
            <v>垫圈</v>
          </cell>
        </row>
        <row r="118">
          <cell r="E118" t="str">
            <v>K1605.18.09.01</v>
          </cell>
          <cell r="F118" t="str">
            <v>Опора гусеничного полотна (башмак)</v>
          </cell>
          <cell r="G118">
            <v>5223</v>
          </cell>
          <cell r="J118" t="str">
            <v>拖带铸件</v>
          </cell>
        </row>
        <row r="119">
          <cell r="E119" t="str">
            <v>DF-2500</v>
          </cell>
          <cell r="F119" t="str">
            <v>Центробежный вентилятор 0.55 KW</v>
          </cell>
          <cell r="G119">
            <v>1387</v>
          </cell>
          <cell r="J119" t="str">
            <v>离心风机</v>
          </cell>
        </row>
        <row r="120">
          <cell r="E120" t="str">
            <v>EV550-VD</v>
          </cell>
          <cell r="F120" t="str">
            <v>Осевой вентилятор</v>
          </cell>
          <cell r="G120">
            <v>2377</v>
          </cell>
          <cell r="J120" t="str">
            <v>轴流风机</v>
          </cell>
        </row>
        <row r="121">
          <cell r="E121" t="str">
            <v>CB250-YIL</v>
          </cell>
          <cell r="F121" t="str">
            <v>Компрессор</v>
          </cell>
          <cell r="G121">
            <v>5217</v>
          </cell>
          <cell r="J121" t="str">
            <v>压缩机</v>
          </cell>
        </row>
        <row r="122">
          <cell r="E122" t="str">
            <v>TCLE7.50</v>
          </cell>
          <cell r="F122" t="str">
            <v>Предохранительный клапан</v>
          </cell>
          <cell r="G122">
            <v>284</v>
          </cell>
          <cell r="J122" t="str">
            <v>膨胀阀</v>
          </cell>
        </row>
        <row r="123">
          <cell r="E123" t="str">
            <v>EK165S</v>
          </cell>
          <cell r="F123" t="str">
            <v>Сухой фильтр</v>
          </cell>
          <cell r="G123">
            <v>125</v>
          </cell>
          <cell r="J123" t="str">
            <v>干燥过滤器</v>
          </cell>
        </row>
        <row r="124">
          <cell r="E124" t="str">
            <v>C234</v>
          </cell>
          <cell r="F124" t="str">
            <v>Регулятор температуры</v>
          </cell>
          <cell r="G124">
            <v>317</v>
          </cell>
          <cell r="J124" t="str">
            <v>温度控制器</v>
          </cell>
        </row>
        <row r="125">
          <cell r="E125" t="str">
            <v>R10-220</v>
          </cell>
          <cell r="F125" t="str">
            <v>Электро-магнитный клапан</v>
          </cell>
          <cell r="G125">
            <v>535</v>
          </cell>
          <cell r="J125" t="str">
            <v>电磁阀</v>
          </cell>
        </row>
        <row r="126">
          <cell r="E126" t="str">
            <v>PTC2500</v>
          </cell>
          <cell r="F126" t="str">
            <v>Электронный нагреватель</v>
          </cell>
          <cell r="G126">
            <v>106</v>
          </cell>
          <cell r="J126" t="str">
            <v>电加热器</v>
          </cell>
        </row>
        <row r="127">
          <cell r="E127" t="str">
            <v>C65N D1 3P</v>
          </cell>
          <cell r="F127" t="str">
            <v>Прерыватель</v>
          </cell>
          <cell r="G127">
            <v>65</v>
          </cell>
          <cell r="J127" t="str">
            <v>断路器</v>
          </cell>
        </row>
        <row r="128">
          <cell r="E128" t="str">
            <v>C65N D1 2P</v>
          </cell>
          <cell r="F128" t="str">
            <v>Прерыватель</v>
          </cell>
          <cell r="G128">
            <v>58</v>
          </cell>
          <cell r="J128" t="str">
            <v>断路器</v>
          </cell>
        </row>
        <row r="129">
          <cell r="E129" t="str">
            <v>K8AB-PH1</v>
          </cell>
          <cell r="F129" t="str">
            <v>Блок управления фазами</v>
          </cell>
          <cell r="G129">
            <v>113</v>
          </cell>
          <cell r="J129" t="str">
            <v>相序控制器</v>
          </cell>
        </row>
        <row r="130">
          <cell r="E130" t="str">
            <v>H3CT-N8H</v>
          </cell>
          <cell r="F130" t="str">
            <v>Реле времени</v>
          </cell>
          <cell r="G130">
            <v>71</v>
          </cell>
          <cell r="J130" t="str">
            <v>时间继电器</v>
          </cell>
        </row>
        <row r="131">
          <cell r="E131" t="str">
            <v>LW39-16B</v>
          </cell>
          <cell r="F131" t="str">
            <v>Выключатель переключения</v>
          </cell>
          <cell r="G131">
            <v>54</v>
          </cell>
          <cell r="J131" t="str">
            <v>转换开关</v>
          </cell>
        </row>
        <row r="132">
          <cell r="E132" t="str">
            <v>MY4</v>
          </cell>
          <cell r="F132" t="str">
            <v>Реле 0821EW2</v>
          </cell>
          <cell r="G132">
            <v>18</v>
          </cell>
          <cell r="J132" t="str">
            <v>中间继电器</v>
          </cell>
        </row>
        <row r="133">
          <cell r="E133" t="str">
            <v>LR2D1312</v>
          </cell>
          <cell r="F133" t="str">
            <v>Термореле</v>
          </cell>
          <cell r="G133">
            <v>38</v>
          </cell>
          <cell r="J133" t="str">
            <v>热继电器</v>
          </cell>
        </row>
        <row r="134">
          <cell r="E134" t="str">
            <v>LR2D1307</v>
          </cell>
          <cell r="F134" t="str">
            <v>Термореле</v>
          </cell>
          <cell r="G134">
            <v>38</v>
          </cell>
          <cell r="J134" t="str">
            <v>热继电器</v>
          </cell>
        </row>
        <row r="135">
          <cell r="E135" t="str">
            <v>LR2D1308</v>
          </cell>
          <cell r="F135" t="str">
            <v>Термореле</v>
          </cell>
          <cell r="G135">
            <v>38</v>
          </cell>
          <cell r="J135" t="str">
            <v>热继电器</v>
          </cell>
        </row>
        <row r="136">
          <cell r="E136" t="str">
            <v>LR2D1314</v>
          </cell>
          <cell r="F136" t="str">
            <v>Термореле</v>
          </cell>
          <cell r="G136">
            <v>40</v>
          </cell>
          <cell r="J136" t="str">
            <v>热继电器</v>
          </cell>
        </row>
        <row r="137">
          <cell r="E137" t="str">
            <v>LAD-R4C</v>
          </cell>
          <cell r="F137" t="str">
            <v>Реле задержки времени</v>
          </cell>
          <cell r="G137">
            <v>80</v>
          </cell>
          <cell r="J137" t="str">
            <v>延时触头</v>
          </cell>
        </row>
        <row r="138">
          <cell r="E138" t="str">
            <v>AD17KA-22/220W</v>
          </cell>
          <cell r="F138" t="str">
            <v>Индикаторная лампа</v>
          </cell>
          <cell r="G138">
            <v>5</v>
          </cell>
          <cell r="J138" t="str">
            <v>指示灯</v>
          </cell>
        </row>
        <row r="139">
          <cell r="E139" t="str">
            <v>AD17-22TS/220RG</v>
          </cell>
          <cell r="F139" t="str">
            <v>Двухцветный индикатор</v>
          </cell>
          <cell r="G139">
            <v>6</v>
          </cell>
          <cell r="J139" t="str">
            <v>双色指示灯</v>
          </cell>
        </row>
        <row r="140">
          <cell r="E140" t="str">
            <v>R134a 27.2</v>
          </cell>
          <cell r="F140" t="str">
            <v>Охлаждающая жидкость 13.6кг.</v>
          </cell>
          <cell r="G140">
            <v>853</v>
          </cell>
          <cell r="J140" t="str">
            <v>空调制冷剂13.6kg</v>
          </cell>
        </row>
        <row r="141">
          <cell r="E141" t="str">
            <v>K1833.23.02.09.00</v>
          </cell>
          <cell r="F141" t="str">
            <v>Осевой вентилятор 3кВт.</v>
          </cell>
          <cell r="G141">
            <v>938</v>
          </cell>
          <cell r="J141" t="str">
            <v>轴流风机3kw</v>
          </cell>
        </row>
        <row r="142">
          <cell r="E142" t="str">
            <v>K1602.11.13.05.00</v>
          </cell>
          <cell r="F142" t="str">
            <v>Вентилятор 1.5 квт</v>
          </cell>
          <cell r="G142">
            <v>549</v>
          </cell>
          <cell r="J142" t="str">
            <v>通风装置1.5KW</v>
          </cell>
        </row>
        <row r="143">
          <cell r="E143" t="str">
            <v>LTDG</v>
          </cell>
          <cell r="F143" t="str">
            <v>Крышка фильтрующего стакана</v>
          </cell>
          <cell r="G143">
            <v>190</v>
          </cell>
          <cell r="J143" t="str">
            <v>滤筒端盖</v>
          </cell>
        </row>
        <row r="144">
          <cell r="E144" t="str">
            <v>K1623.22.02.04.00-01</v>
          </cell>
          <cell r="F144" t="str">
            <v>Электро-магнитный клапан для устройста пылеудаления</v>
          </cell>
          <cell r="G144">
            <v>248</v>
          </cell>
          <cell r="J144" t="str">
            <v>除尘脉冲电磁阀</v>
          </cell>
        </row>
        <row r="145">
          <cell r="E145" t="str">
            <v>K1831.22.02.04.02</v>
          </cell>
          <cell r="F145" t="str">
            <v>Короткая труба для выброса пыли</v>
          </cell>
          <cell r="G145">
            <v>215</v>
          </cell>
          <cell r="J145" t="str">
            <v>排灰短管</v>
          </cell>
        </row>
        <row r="146">
          <cell r="E146" t="str">
            <v>K1623.22.09</v>
          </cell>
          <cell r="F146" t="str">
            <v>Вентилятор</v>
          </cell>
          <cell r="G146">
            <v>15144</v>
          </cell>
          <cell r="J146" t="str">
            <v>系统风机</v>
          </cell>
        </row>
        <row r="147">
          <cell r="E147" t="str">
            <v>K1623.22.02.04.02</v>
          </cell>
          <cell r="F147" t="str">
            <v>Клапан выброса пыли транспортера</v>
          </cell>
          <cell r="G147">
            <v>6273</v>
          </cell>
          <cell r="J147" t="str">
            <v>输送机卸灰阀</v>
          </cell>
        </row>
        <row r="148">
          <cell r="E148" t="str">
            <v>K1623.22.02.04.03</v>
          </cell>
          <cell r="F148" t="str">
            <v>Электродвигатель</v>
          </cell>
          <cell r="G148">
            <v>9575</v>
          </cell>
          <cell r="J148" t="str">
            <v>减速机电机</v>
          </cell>
        </row>
        <row r="149">
          <cell r="E149" t="str">
            <v>K1832.22.02.04.03</v>
          </cell>
          <cell r="F149" t="str">
            <v>Подвесной подшипник</v>
          </cell>
          <cell r="G149">
            <v>3538</v>
          </cell>
          <cell r="J149" t="str">
            <v>吊轴承</v>
          </cell>
        </row>
        <row r="150">
          <cell r="E150" t="str">
            <v>K1623.22.02.04.00-02</v>
          </cell>
          <cell r="F150" t="str">
            <v>GL10 Муфта</v>
          </cell>
          <cell r="G150">
            <v>594</v>
          </cell>
          <cell r="J150" t="str">
            <v>GL10联轴器</v>
          </cell>
        </row>
        <row r="151">
          <cell r="E151" t="str">
            <v>DS121B</v>
          </cell>
          <cell r="F151" t="str">
            <v>Электрическая щетка кабельного барабана</v>
          </cell>
          <cell r="G151">
            <v>406</v>
          </cell>
          <cell r="J151" t="str">
            <v>电缆卷筒导电电刷</v>
          </cell>
        </row>
        <row r="152">
          <cell r="E152" t="str">
            <v>DS121F</v>
          </cell>
          <cell r="F152" t="str">
            <v>Электрическая щетка кабельного барабана</v>
          </cell>
          <cell r="G152">
            <v>406</v>
          </cell>
          <cell r="J152" t="str">
            <v>电缆卷筒润滑电刷</v>
          </cell>
        </row>
        <row r="153">
          <cell r="E153" t="str">
            <v>HHTGYDQG-DLJT68-8001</v>
          </cell>
          <cell r="F153" t="str">
            <v>Выключатель</v>
          </cell>
          <cell r="G153">
            <v>40</v>
          </cell>
          <cell r="J153" t="str">
            <v>托底开关</v>
          </cell>
        </row>
        <row r="154">
          <cell r="E154" t="str">
            <v>HHTGYDQG-DLJT68-8002</v>
          </cell>
          <cell r="F154" t="str">
            <v xml:space="preserve">Аварийный сигнализатор разрыва цепи </v>
          </cell>
          <cell r="G154">
            <v>129</v>
          </cell>
          <cell r="J154" t="str">
            <v>链条断裂报警开关</v>
          </cell>
        </row>
        <row r="155">
          <cell r="E155" t="str">
            <v>HHTGYDQG-DLJT68-3001</v>
          </cell>
          <cell r="F155" t="str">
            <v>Электродвигатель</v>
          </cell>
          <cell r="G155">
            <v>1205</v>
          </cell>
          <cell r="J155" t="str">
            <v>电机</v>
          </cell>
        </row>
        <row r="156">
          <cell r="E156" t="str">
            <v>HHTGYDQG-DLJT68-3002</v>
          </cell>
          <cell r="F156" t="str">
            <v>Редуктор</v>
          </cell>
          <cell r="G156">
            <v>9906</v>
          </cell>
          <cell r="J156" t="str">
            <v>减速机</v>
          </cell>
        </row>
        <row r="157">
          <cell r="E157" t="str">
            <v>HHTGYDQG-DLJT68-1009</v>
          </cell>
          <cell r="F157" t="str">
            <v>Большая звёздочка</v>
          </cell>
          <cell r="G157">
            <v>740</v>
          </cell>
          <cell r="J157" t="str">
            <v>大链轮</v>
          </cell>
        </row>
        <row r="158">
          <cell r="E158" t="str">
            <v>HHTGYDQG-DLJT43-1018</v>
          </cell>
          <cell r="F158" t="str">
            <v>Натяжная пластина</v>
          </cell>
          <cell r="G158">
            <v>26</v>
          </cell>
          <cell r="J158" t="str">
            <v>卷筒链轮挡板</v>
          </cell>
        </row>
        <row r="159">
          <cell r="E159" t="str">
            <v>HHTGYDQG-DLJT43-1019</v>
          </cell>
          <cell r="F159" t="str">
            <v>Звездочка</v>
          </cell>
          <cell r="G159">
            <v>324</v>
          </cell>
          <cell r="J159" t="str">
            <v>电机链轮</v>
          </cell>
        </row>
        <row r="160">
          <cell r="E160" t="str">
            <v>HHTGYDQG-DLJT68-1021</v>
          </cell>
          <cell r="F160" t="str">
            <v>Маленикое цепное колесо</v>
          </cell>
          <cell r="G160">
            <v>141</v>
          </cell>
          <cell r="J160" t="str">
            <v>卷筒小链轮</v>
          </cell>
        </row>
        <row r="161">
          <cell r="E161" t="str">
            <v>HHTGYDQG-DLJT68-1022</v>
          </cell>
          <cell r="F161" t="str">
            <v>Звездочка</v>
          </cell>
          <cell r="G161">
            <v>103</v>
          </cell>
          <cell r="J161" t="str">
            <v>减速机输入链轮</v>
          </cell>
        </row>
        <row r="162">
          <cell r="E162" t="str">
            <v>HHTGYDQG-DLJT56-1023</v>
          </cell>
          <cell r="F162" t="str">
            <v>Звездочка</v>
          </cell>
          <cell r="G162">
            <v>119</v>
          </cell>
          <cell r="J162" t="str">
            <v>减速机输出链轮</v>
          </cell>
        </row>
        <row r="163">
          <cell r="E163" t="str">
            <v>HHTGYDQG-DLJT56-1024</v>
          </cell>
          <cell r="F163" t="str">
            <v>Отбойник звездочки</v>
          </cell>
          <cell r="G163">
            <v>53</v>
          </cell>
          <cell r="J163" t="str">
            <v>电机链轮挡板</v>
          </cell>
        </row>
        <row r="164">
          <cell r="E164" t="str">
            <v>12A</v>
          </cell>
          <cell r="F164" t="str">
            <v>Двухрядная цепь 12A</v>
          </cell>
          <cell r="G164">
            <v>149</v>
          </cell>
          <cell r="J164" t="str">
            <v>链条12A双排</v>
          </cell>
        </row>
        <row r="165">
          <cell r="E165" t="str">
            <v>10A</v>
          </cell>
          <cell r="F165" t="str">
            <v>Цепь 10A</v>
          </cell>
          <cell r="G165">
            <v>33</v>
          </cell>
          <cell r="J165" t="str">
            <v>链条10A</v>
          </cell>
        </row>
        <row r="166">
          <cell r="E166" t="str">
            <v>16A</v>
          </cell>
          <cell r="F166" t="str">
            <v>Цепь 16A</v>
          </cell>
          <cell r="G166">
            <v>149</v>
          </cell>
          <cell r="J166" t="str">
            <v>链条16A</v>
          </cell>
        </row>
        <row r="167">
          <cell r="E167" t="str">
            <v>HHTGYDQG-DLJT68-3003</v>
          </cell>
          <cell r="F167" t="str">
            <v>Редуктор кабельукладчика</v>
          </cell>
          <cell r="G167">
            <v>925</v>
          </cell>
          <cell r="J167" t="str">
            <v>排线器减速机</v>
          </cell>
        </row>
        <row r="168">
          <cell r="E168" t="str">
            <v>HHTGYDQG-DLJT68-4000A</v>
          </cell>
          <cell r="F168" t="str">
            <v>Кабельукладчик в сборе</v>
          </cell>
          <cell r="G168">
            <v>9245</v>
          </cell>
          <cell r="J168" t="str">
            <v>排线器总成</v>
          </cell>
        </row>
        <row r="169">
          <cell r="E169" t="str">
            <v>HHTGYDQG-DLJT68-1010B04</v>
          </cell>
          <cell r="F169" t="str">
            <v xml:space="preserve">Подшипник </v>
          </cell>
          <cell r="G169">
            <v>113</v>
          </cell>
          <cell r="J169" t="str">
            <v>卷筒支撑座轴承A</v>
          </cell>
        </row>
        <row r="170">
          <cell r="E170" t="str">
            <v>HHTGYDQG-DLJT68-2000A</v>
          </cell>
          <cell r="F170" t="str">
            <v>Токоприемник</v>
          </cell>
          <cell r="G170">
            <v>15857</v>
          </cell>
          <cell r="J170" t="str">
            <v>集电器总成</v>
          </cell>
        </row>
        <row r="171">
          <cell r="E171" t="str">
            <v>BK2100-2 X</v>
          </cell>
          <cell r="F171" t="str">
            <v>Индикаторная панель управлителя</v>
          </cell>
          <cell r="G171">
            <v>3236</v>
          </cell>
          <cell r="J171" t="str">
            <v>控制器显示板</v>
          </cell>
        </row>
        <row r="172">
          <cell r="E172" t="str">
            <v>BK2100-2 D</v>
          </cell>
          <cell r="F172" t="str">
            <v>Блок питания</v>
          </cell>
          <cell r="G172">
            <v>3236</v>
          </cell>
          <cell r="J172" t="str">
            <v>控制器电源板</v>
          </cell>
        </row>
        <row r="173">
          <cell r="E173" t="str">
            <v>BK2100-2 24V</v>
          </cell>
          <cell r="F173" t="str">
            <v>Модуль источника напряжения</v>
          </cell>
          <cell r="G173">
            <v>301</v>
          </cell>
          <cell r="J173" t="str">
            <v>电源模块</v>
          </cell>
        </row>
        <row r="174">
          <cell r="E174" t="str">
            <v>12V-7Ah</v>
          </cell>
          <cell r="F174" t="str">
            <v>Запасная батарея</v>
          </cell>
          <cell r="G174">
            <v>241</v>
          </cell>
          <cell r="J174" t="str">
            <v>备用电池</v>
          </cell>
        </row>
        <row r="175">
          <cell r="E175" t="str">
            <v>SH-BK2D 90</v>
          </cell>
          <cell r="F175" t="str">
            <v xml:space="preserve">Датчик температуры 
автоматической противопожарной системы </v>
          </cell>
          <cell r="G175">
            <v>235</v>
          </cell>
          <cell r="J175" t="str">
            <v>感温探测器</v>
          </cell>
        </row>
        <row r="176">
          <cell r="E176" t="str">
            <v>SH-BK2D 100</v>
          </cell>
          <cell r="F176" t="str">
            <v xml:space="preserve">Датчик температуры 
автоматической противопожарной системы </v>
          </cell>
          <cell r="G176">
            <v>235</v>
          </cell>
          <cell r="J176" t="str">
            <v>感温探测器</v>
          </cell>
        </row>
        <row r="177">
          <cell r="E177" t="str">
            <v>SH-BK2D 110</v>
          </cell>
          <cell r="F177" t="str">
            <v xml:space="preserve">Датчик температуры 
автоматической противопожарной системы </v>
          </cell>
          <cell r="G177">
            <v>340</v>
          </cell>
          <cell r="J177" t="str">
            <v>感温探测器</v>
          </cell>
        </row>
        <row r="178">
          <cell r="E178" t="str">
            <v>SH-BK2D 120</v>
          </cell>
          <cell r="F178" t="str">
            <v xml:space="preserve">Датчик температуры 
автоматической противопожарной системы </v>
          </cell>
          <cell r="G178">
            <v>340</v>
          </cell>
          <cell r="J178" t="str">
            <v>感温探测器</v>
          </cell>
        </row>
        <row r="179">
          <cell r="E179" t="str">
            <v>JB-BK8200</v>
          </cell>
          <cell r="F179" t="str">
            <v>Аварийный выключатель компрессора</v>
          </cell>
          <cell r="G179">
            <v>239</v>
          </cell>
          <cell r="J179" t="str">
            <v>紧急启停按钮</v>
          </cell>
        </row>
        <row r="180">
          <cell r="E180" t="str">
            <v>JB-SG-BK8010A</v>
          </cell>
          <cell r="F180" t="str">
            <v>Свето-звуковая сигнализация</v>
          </cell>
          <cell r="G180">
            <v>263</v>
          </cell>
          <cell r="J180" t="str">
            <v>声光报警器</v>
          </cell>
        </row>
        <row r="181">
          <cell r="E181" t="str">
            <v>JB-BK8019</v>
          </cell>
          <cell r="F181" t="str">
            <v>Индикатор выпуска воздуха</v>
          </cell>
          <cell r="G181">
            <v>263</v>
          </cell>
          <cell r="J181" t="str">
            <v>放气指示灯</v>
          </cell>
        </row>
        <row r="182">
          <cell r="E182" t="str">
            <v>DQ-27.8A</v>
          </cell>
          <cell r="F182" t="str">
            <v>Электро-магнитный клапан</v>
          </cell>
          <cell r="G182">
            <v>2465</v>
          </cell>
          <cell r="J182" t="str">
            <v>电磁阀</v>
          </cell>
        </row>
        <row r="183">
          <cell r="E183" t="str">
            <v>HFC-227ea</v>
          </cell>
          <cell r="F183" t="str">
            <v xml:space="preserve">Баллон гептафтор-пропана автоматической огнетушительной системы </v>
          </cell>
          <cell r="G183">
            <v>12245</v>
          </cell>
          <cell r="J183" t="str">
            <v>七氟丙烷药剂70kg</v>
          </cell>
        </row>
        <row r="184">
          <cell r="E184">
            <v>54672654</v>
          </cell>
          <cell r="F184" t="str">
            <v>Масляный фильтр</v>
          </cell>
          <cell r="G184">
            <v>66.27</v>
          </cell>
          <cell r="J184" t="str">
            <v>油过滤器芯</v>
          </cell>
        </row>
        <row r="185">
          <cell r="E185">
            <v>3735050000</v>
          </cell>
          <cell r="F185" t="str">
            <v>Быстрый воздушно-разгрузочный клапан</v>
          </cell>
          <cell r="G185">
            <v>1329</v>
          </cell>
          <cell r="J185" t="str">
            <v>快速排气阀</v>
          </cell>
        </row>
        <row r="186">
          <cell r="E186" t="str">
            <v>ROTEX-38St92ShA 1-∮19 1b-∮40</v>
          </cell>
          <cell r="F186" t="str">
            <v>ROTEX38 соединительная муфта</v>
          </cell>
          <cell r="G186">
            <v>617</v>
          </cell>
          <cell r="J186" t="str">
            <v>提升油泵联轴器</v>
          </cell>
        </row>
        <row r="187">
          <cell r="E187" t="str">
            <v>ROTEX-24-St92-1b-∮28-1a-Ta</v>
          </cell>
          <cell r="F187" t="str">
            <v>ROTEX24 соединительная муфта</v>
          </cell>
          <cell r="G187">
            <v>570</v>
          </cell>
          <cell r="J187" t="str">
            <v>回转油泵联轴器</v>
          </cell>
        </row>
        <row r="188">
          <cell r="E188" t="str">
            <v>22067177</v>
          </cell>
          <cell r="F188" t="str">
            <v>Блок впускного клапана</v>
          </cell>
          <cell r="G188">
            <v>824</v>
          </cell>
          <cell r="J188" t="str">
            <v>进气阀组件</v>
          </cell>
        </row>
        <row r="189">
          <cell r="E189" t="str">
            <v>22064695</v>
          </cell>
          <cell r="F189" t="str">
            <v>Блок минимального клапана давления</v>
          </cell>
          <cell r="G189">
            <v>892</v>
          </cell>
          <cell r="J189" t="str">
            <v>最小压力阀组件</v>
          </cell>
        </row>
        <row r="190">
          <cell r="E190" t="str">
            <v>22832885</v>
          </cell>
          <cell r="F190" t="str">
            <v>Блок клапана управления температурой</v>
          </cell>
          <cell r="G190">
            <v>332</v>
          </cell>
          <cell r="J190" t="str">
            <v>温控阀组件</v>
          </cell>
        </row>
        <row r="191">
          <cell r="E191" t="str">
            <v>54774302</v>
          </cell>
          <cell r="F191" t="str">
            <v xml:space="preserve">Электромагнитный клапан </v>
          </cell>
          <cell r="G191">
            <v>326</v>
          </cell>
          <cell r="J191" t="str">
            <v>加载电磁阀</v>
          </cell>
        </row>
        <row r="192">
          <cell r="E192" t="str">
            <v>54654652</v>
          </cell>
          <cell r="F192" t="str">
            <v xml:space="preserve">Электромагнитный клапан </v>
          </cell>
          <cell r="G192">
            <v>569</v>
          </cell>
          <cell r="J192" t="str">
            <v>放气电磁阀</v>
          </cell>
        </row>
        <row r="193">
          <cell r="E193">
            <v>54749114</v>
          </cell>
          <cell r="F193" t="str">
            <v>Пневматическая пружина (натяжитель)</v>
          </cell>
          <cell r="G193">
            <v>254</v>
          </cell>
          <cell r="J193" t="str">
            <v>气阀弹簧</v>
          </cell>
        </row>
        <row r="194">
          <cell r="E194" t="str">
            <v>89265060</v>
          </cell>
          <cell r="F194" t="str">
            <v>Приводной ремень</v>
          </cell>
          <cell r="G194">
            <v>361</v>
          </cell>
          <cell r="J194" t="str">
            <v>传动皮带</v>
          </cell>
        </row>
        <row r="195">
          <cell r="E195">
            <v>22053904</v>
          </cell>
          <cell r="F195" t="str">
            <v>Аварийный выключатель компрессора</v>
          </cell>
          <cell r="G195">
            <v>297.94</v>
          </cell>
          <cell r="J195" t="str">
            <v>紧急停机按钮</v>
          </cell>
        </row>
        <row r="196">
          <cell r="E196" t="str">
            <v>22071831</v>
          </cell>
          <cell r="F196" t="str">
            <v>Предохранитель 1.6A</v>
          </cell>
          <cell r="G196">
            <v>116.87</v>
          </cell>
          <cell r="J196" t="str">
            <v>保险丝 1.6A 500V</v>
          </cell>
        </row>
        <row r="197">
          <cell r="E197" t="str">
            <v>22071815</v>
          </cell>
          <cell r="F197" t="str">
            <v>Предохранитель 2A</v>
          </cell>
          <cell r="G197">
            <v>119.16</v>
          </cell>
          <cell r="J197" t="str">
            <v>保险丝 2A 500V</v>
          </cell>
        </row>
        <row r="198">
          <cell r="E198" t="str">
            <v>22053722</v>
          </cell>
          <cell r="F198" t="str">
            <v>Предварительный фильтр</v>
          </cell>
          <cell r="G198">
            <v>100.65</v>
          </cell>
          <cell r="J198" t="str">
            <v>预滤器</v>
          </cell>
        </row>
        <row r="199">
          <cell r="E199" t="str">
            <v>22505309</v>
          </cell>
          <cell r="F199" t="str">
            <v>Выключатель давления</v>
          </cell>
          <cell r="G199">
            <v>816</v>
          </cell>
          <cell r="J199" t="str">
            <v>压力开关</v>
          </cell>
        </row>
        <row r="200">
          <cell r="E200">
            <v>37952421</v>
          </cell>
          <cell r="F200" t="str">
            <v>Датчик температуры</v>
          </cell>
          <cell r="G200">
            <v>731</v>
          </cell>
          <cell r="J200" t="str">
            <v>气温开关</v>
          </cell>
        </row>
        <row r="201">
          <cell r="E201">
            <v>39404165</v>
          </cell>
          <cell r="F201" t="str">
            <v>О-образное уплотнение, термовыключатель</v>
          </cell>
          <cell r="G201">
            <v>29.26</v>
          </cell>
          <cell r="J201" t="str">
            <v>“O”型圈，温度开关</v>
          </cell>
        </row>
        <row r="202">
          <cell r="E202" t="str">
            <v>54740386</v>
          </cell>
          <cell r="F202" t="str">
            <v>Шайба</v>
          </cell>
          <cell r="G202">
            <v>38</v>
          </cell>
          <cell r="J202" t="str">
            <v>裸垫片垫圈</v>
          </cell>
        </row>
        <row r="203">
          <cell r="E203" t="str">
            <v>54740378</v>
          </cell>
          <cell r="F203" t="str">
            <v>Шайба патрубка</v>
          </cell>
          <cell r="G203">
            <v>106</v>
          </cell>
          <cell r="J203" t="str">
            <v>歧管垫圈</v>
          </cell>
        </row>
        <row r="204">
          <cell r="E204">
            <v>1827231035</v>
          </cell>
          <cell r="F204" t="str">
            <v>Манометр</v>
          </cell>
          <cell r="G204">
            <v>87</v>
          </cell>
          <cell r="J204" t="str">
            <v>减压阀压力表</v>
          </cell>
        </row>
        <row r="205">
          <cell r="E205" t="str">
            <v>VP-UNN-13 6</v>
          </cell>
          <cell r="F205" t="str">
            <v>Прокладка маслонасоса подъёмного редуктора</v>
          </cell>
          <cell r="G205">
            <v>712</v>
          </cell>
          <cell r="J205" t="str">
            <v>提升油泵密封 6根</v>
          </cell>
        </row>
        <row r="206">
          <cell r="E206" t="str">
            <v>VP-UE-10</v>
          </cell>
          <cell r="F206" t="str">
            <v>Прокладка маслонасоса поворотного редуктора</v>
          </cell>
          <cell r="G206">
            <v>664</v>
          </cell>
          <cell r="J206" t="str">
            <v>回转油泵密封 5根</v>
          </cell>
        </row>
        <row r="207">
          <cell r="E207" t="str">
            <v>DR460A</v>
          </cell>
          <cell r="F207" t="str">
            <v>Гидравлический клапан</v>
          </cell>
          <cell r="G207">
            <v>4746</v>
          </cell>
          <cell r="J207" t="str">
            <v>液动换向阀</v>
          </cell>
        </row>
        <row r="208">
          <cell r="E208" t="str">
            <v>DR460B</v>
          </cell>
          <cell r="F208" t="str">
            <v>Гидравлический клапан</v>
          </cell>
          <cell r="G208">
            <v>6379</v>
          </cell>
          <cell r="J208" t="str">
            <v>液动换向阀</v>
          </cell>
        </row>
        <row r="209">
          <cell r="E209" t="str">
            <v>LC1000/-2/G1/42HM800N</v>
          </cell>
          <cell r="F209" t="str">
            <v>Датчик уровня</v>
          </cell>
          <cell r="G209">
            <v>3949</v>
          </cell>
          <cell r="J209" t="str">
            <v>液位传感器</v>
          </cell>
        </row>
        <row r="210">
          <cell r="E210">
            <v>1904</v>
          </cell>
          <cell r="F210" t="str">
            <v>Пневматический насос1904</v>
          </cell>
          <cell r="G210">
            <v>14342</v>
          </cell>
          <cell r="J210" t="str">
            <v>气动泵</v>
          </cell>
        </row>
        <row r="211">
          <cell r="E211" t="str">
            <v>S10-A-BBS-GD-EGA4ZBG</v>
          </cell>
          <cell r="F211" t="str">
            <v>Датчик вакуума</v>
          </cell>
          <cell r="G211">
            <v>1308</v>
          </cell>
          <cell r="J211" t="str">
            <v>真空度传感器</v>
          </cell>
        </row>
        <row r="212">
          <cell r="E212" t="str">
            <v>TA3020/C-50-120/242G12MH050D6</v>
          </cell>
          <cell r="F212" t="str">
            <v>Датчик температуры</v>
          </cell>
          <cell r="G212">
            <v>740</v>
          </cell>
          <cell r="J212" t="str">
            <v>温度传感器</v>
          </cell>
        </row>
        <row r="213">
          <cell r="E213" t="str">
            <v>PA1000/B0016P0242G14MM</v>
          </cell>
          <cell r="F213" t="str">
            <v>Датчик давления</v>
          </cell>
          <cell r="G213">
            <v>592</v>
          </cell>
          <cell r="J213" t="str">
            <v>压力传感器</v>
          </cell>
        </row>
        <row r="214">
          <cell r="E214" t="str">
            <v>MIC-A-Rc1/2-AC220V50Hz</v>
          </cell>
          <cell r="F214" t="str">
            <v>Электрический водоотливной клапан</v>
          </cell>
          <cell r="G214">
            <v>133</v>
          </cell>
          <cell r="J214" t="str">
            <v>电子排水阀</v>
          </cell>
        </row>
        <row r="215">
          <cell r="E215" t="str">
            <v>6322D-341-RA</v>
          </cell>
          <cell r="F215" t="str">
            <v>Клапан</v>
          </cell>
          <cell r="G215">
            <v>450</v>
          </cell>
          <cell r="J215" t="str">
            <v>双气控二位三通阀</v>
          </cell>
        </row>
        <row r="216">
          <cell r="E216">
            <v>5340170100</v>
          </cell>
          <cell r="F216" t="str">
            <v>Проходной клапан</v>
          </cell>
          <cell r="G216">
            <v>123</v>
          </cell>
          <cell r="J216" t="str">
            <v>梭阀</v>
          </cell>
        </row>
        <row r="217">
          <cell r="E217" t="str">
            <v>180001-115-0111</v>
          </cell>
          <cell r="F217" t="str">
            <v>Клапан</v>
          </cell>
          <cell r="G217">
            <v>213</v>
          </cell>
          <cell r="J217" t="str">
            <v>机控换向阀</v>
          </cell>
        </row>
        <row r="218">
          <cell r="E218" t="str">
            <v>180001-115-0036</v>
          </cell>
          <cell r="F218" t="str">
            <v>Клапан</v>
          </cell>
          <cell r="G218">
            <v>254</v>
          </cell>
          <cell r="J218" t="str">
            <v>手动按钮阀</v>
          </cell>
        </row>
        <row r="219">
          <cell r="E219" t="str">
            <v>R412010713</v>
          </cell>
          <cell r="F219" t="str">
            <v>Реле давления</v>
          </cell>
          <cell r="G219">
            <v>321</v>
          </cell>
          <cell r="J219" t="str">
            <v>压力继电器</v>
          </cell>
        </row>
        <row r="220">
          <cell r="E220" t="str">
            <v>233.50/100G1/2</v>
          </cell>
          <cell r="F220" t="str">
            <v>Манометр</v>
          </cell>
          <cell r="G220">
            <v>1120</v>
          </cell>
          <cell r="J220" t="str">
            <v>电接点压力表</v>
          </cell>
        </row>
        <row r="221">
          <cell r="E221">
            <v>5653011310</v>
          </cell>
          <cell r="F221" t="str">
            <v>Электромагнитный клапан переключения-пневматический</v>
          </cell>
          <cell r="G221">
            <v>1348</v>
          </cell>
          <cell r="J221" t="str">
            <v>电磁换向阀</v>
          </cell>
        </row>
        <row r="222">
          <cell r="E222">
            <v>8941016112</v>
          </cell>
          <cell r="F222" t="str">
            <v>Катушка электро-магнитного клапана</v>
          </cell>
          <cell r="G222">
            <v>65</v>
          </cell>
          <cell r="J222" t="str">
            <v>电磁阀线圈</v>
          </cell>
        </row>
        <row r="223">
          <cell r="E223" t="str">
            <v>H01060012/8-8FJX/8-8FJX/1000</v>
          </cell>
          <cell r="F223" t="str">
            <v>Воздуховод</v>
          </cell>
          <cell r="G223">
            <v>87</v>
          </cell>
          <cell r="J223" t="str">
            <v>润滑胶管总成</v>
          </cell>
        </row>
        <row r="224">
          <cell r="E224" t="str">
            <v>H01060012/8-8FJX/8-8FJX/2500</v>
          </cell>
          <cell r="F224" t="str">
            <v>Воздуховод</v>
          </cell>
          <cell r="G224">
            <v>152</v>
          </cell>
          <cell r="J224" t="str">
            <v>润滑胶管总成</v>
          </cell>
        </row>
        <row r="225">
          <cell r="E225" t="str">
            <v>H01060012/8-8FJX/8-8FJX/3500</v>
          </cell>
          <cell r="F225" t="str">
            <v>Воздуховод</v>
          </cell>
          <cell r="G225">
            <v>198</v>
          </cell>
          <cell r="J225" t="str">
            <v>润滑胶管总成</v>
          </cell>
        </row>
        <row r="226">
          <cell r="E226" t="str">
            <v>H01058012/8-8FJX/8-8FJX/1000</v>
          </cell>
          <cell r="F226" t="str">
            <v>Воздуховод</v>
          </cell>
          <cell r="G226">
            <v>87</v>
          </cell>
          <cell r="J226" t="str">
            <v>气路胶管总成</v>
          </cell>
        </row>
        <row r="227">
          <cell r="E227" t="str">
            <v>H01058012/8-8FJX/8-8FJX/2500</v>
          </cell>
          <cell r="F227" t="str">
            <v>Воздуховод</v>
          </cell>
          <cell r="G227">
            <v>152</v>
          </cell>
          <cell r="J227" t="str">
            <v>气路胶管总成</v>
          </cell>
        </row>
        <row r="228">
          <cell r="E228" t="str">
            <v>H01058012/8-8FJX/8-8FJX/3500</v>
          </cell>
          <cell r="F228" t="str">
            <v>Воздуховод</v>
          </cell>
          <cell r="G228">
            <v>198</v>
          </cell>
          <cell r="J228" t="str">
            <v>气路胶管总成</v>
          </cell>
        </row>
        <row r="229">
          <cell r="E229" t="str">
            <v>DM54-100</v>
          </cell>
          <cell r="F229" t="str">
            <v>Распределитель двухмагистральных систем (Дозирующий клапан)</v>
          </cell>
          <cell r="G229">
            <v>1291</v>
          </cell>
          <cell r="J229" t="str">
            <v>双线分配器</v>
          </cell>
        </row>
        <row r="230">
          <cell r="E230" t="str">
            <v>DM62-100</v>
          </cell>
          <cell r="F230" t="str">
            <v>Распределитель двухмагистральных систем (Дозирующий клапан)</v>
          </cell>
          <cell r="G230">
            <v>1519</v>
          </cell>
          <cell r="J230" t="str">
            <v>双线分配器</v>
          </cell>
        </row>
        <row r="231">
          <cell r="E231" t="str">
            <v>SDU04A00H00</v>
          </cell>
          <cell r="F231" t="str">
            <v>Продувной клапан в сборе</v>
          </cell>
          <cell r="G231">
            <v>3019</v>
          </cell>
          <cell r="J231" t="str">
            <v>喷射阀</v>
          </cell>
        </row>
        <row r="232">
          <cell r="E232" t="str">
            <v>K1623.91.01.00</v>
          </cell>
          <cell r="F232" t="str">
            <v>Насос смазочный</v>
          </cell>
          <cell r="G232">
            <v>16100</v>
          </cell>
          <cell r="J232" t="str">
            <v>提升减速机油泵装置</v>
          </cell>
        </row>
        <row r="233">
          <cell r="E233" t="str">
            <v>DWE-FGR200G34A3TS75L</v>
          </cell>
          <cell r="F233" t="str">
            <v>Реле потока</v>
          </cell>
          <cell r="G233">
            <v>11714</v>
          </cell>
          <cell r="J233" t="str">
            <v>齿轮流量计</v>
          </cell>
        </row>
        <row r="234">
          <cell r="E234" t="str">
            <v>K1623.93.01.00</v>
          </cell>
          <cell r="F234" t="str">
            <v>Насос смазочный</v>
          </cell>
          <cell r="G234">
            <v>15701</v>
          </cell>
          <cell r="J234" t="str">
            <v>回转油泵电机组</v>
          </cell>
        </row>
        <row r="235">
          <cell r="E235" t="str">
            <v>K1623.92.02.01.00</v>
          </cell>
          <cell r="F235" t="str">
            <v>Установка компрессора</v>
          </cell>
          <cell r="G235">
            <v>39870</v>
          </cell>
          <cell r="J235" t="str">
            <v>空压机装置订货图</v>
          </cell>
        </row>
        <row r="236">
          <cell r="E236" t="str">
            <v>K1622.92.04.00</v>
          </cell>
          <cell r="F236" t="str">
            <v>Вращающееся масленно-воздушное соединение (вертлюг)</v>
          </cell>
          <cell r="G236">
            <v>3038</v>
          </cell>
          <cell r="J236" t="str">
            <v>旋转油气接头</v>
          </cell>
        </row>
        <row r="237">
          <cell r="E237">
            <v>4321990300</v>
          </cell>
          <cell r="F237" t="str">
            <v>Антиобледенитель</v>
          </cell>
          <cell r="G237">
            <v>2962</v>
          </cell>
          <cell r="J237" t="str">
            <v>防冻器</v>
          </cell>
        </row>
        <row r="238">
          <cell r="E238">
            <v>821302500</v>
          </cell>
          <cell r="F238" t="str">
            <v>Редукционный клапан</v>
          </cell>
          <cell r="G238">
            <v>323</v>
          </cell>
          <cell r="J238" t="str">
            <v>减压阀</v>
          </cell>
        </row>
        <row r="239">
          <cell r="E239" t="str">
            <v>BSX 10-2</v>
          </cell>
          <cell r="F239" t="str">
            <v>Термозащитная полоса 20м.</v>
          </cell>
          <cell r="G239">
            <v>759</v>
          </cell>
          <cell r="J239" t="str">
            <v>自调控伴热带20米</v>
          </cell>
        </row>
        <row r="240">
          <cell r="E240" t="str">
            <v>DP</v>
          </cell>
          <cell r="F240" t="str">
            <v>Коробка соединения кабелей питания SX</v>
          </cell>
          <cell r="G240">
            <v>399</v>
          </cell>
          <cell r="J240" t="str">
            <v>SX电源接线盒</v>
          </cell>
        </row>
        <row r="241">
          <cell r="E241" t="str">
            <v>PETK-1D</v>
          </cell>
          <cell r="F241" t="str">
            <v>Соединительные элементы SX</v>
          </cell>
          <cell r="G241">
            <v>51</v>
          </cell>
          <cell r="J241" t="str">
            <v>SX连接组件</v>
          </cell>
        </row>
        <row r="242">
          <cell r="E242" t="str">
            <v>TBSK</v>
          </cell>
          <cell r="F242" t="str">
            <v>Соединительные элементы тройника SX</v>
          </cell>
          <cell r="G242">
            <v>78</v>
          </cell>
          <cell r="J242" t="str">
            <v>SX三通连接组件</v>
          </cell>
        </row>
        <row r="243">
          <cell r="E243" t="str">
            <v>ET-6C</v>
          </cell>
          <cell r="F243" t="str">
            <v>Концевые элементы</v>
          </cell>
          <cell r="G243">
            <v>38</v>
          </cell>
          <cell r="J243" t="str">
            <v>尾端组件</v>
          </cell>
        </row>
        <row r="244">
          <cell r="E244" t="str">
            <v>B7-15140</v>
          </cell>
          <cell r="F244" t="str">
            <v>Регулятор температуры</v>
          </cell>
          <cell r="G244">
            <v>2164</v>
          </cell>
          <cell r="J244" t="str">
            <v>环境温控器</v>
          </cell>
        </row>
        <row r="245">
          <cell r="E245" t="str">
            <v>8MJ-4MT9</v>
          </cell>
          <cell r="F245" t="str">
            <v>Переходник</v>
          </cell>
          <cell r="G245">
            <v>9</v>
          </cell>
          <cell r="J245" t="str">
            <v>直角接头</v>
          </cell>
        </row>
        <row r="246">
          <cell r="E246" t="str">
            <v>8MJ-6MT</v>
          </cell>
          <cell r="F246" t="str">
            <v>Переходник</v>
          </cell>
          <cell r="G246">
            <v>6</v>
          </cell>
          <cell r="J246" t="str">
            <v>端直通接头</v>
          </cell>
        </row>
        <row r="247">
          <cell r="E247" t="str">
            <v>8MJ-8MP</v>
          </cell>
          <cell r="F247" t="str">
            <v>Переходник</v>
          </cell>
          <cell r="G247">
            <v>7</v>
          </cell>
          <cell r="J247" t="str">
            <v>端直通接头</v>
          </cell>
        </row>
        <row r="248">
          <cell r="E248" t="str">
            <v>8MJ-8MJ</v>
          </cell>
          <cell r="F248" t="str">
            <v>Переходник</v>
          </cell>
          <cell r="G248">
            <v>6</v>
          </cell>
          <cell r="J248" t="str">
            <v>端直通接头</v>
          </cell>
        </row>
        <row r="249">
          <cell r="E249" t="str">
            <v>12MJ-16MP</v>
          </cell>
          <cell r="F249" t="str">
            <v>Переходник</v>
          </cell>
          <cell r="G249">
            <v>11</v>
          </cell>
          <cell r="J249" t="str">
            <v>端直通接头</v>
          </cell>
        </row>
        <row r="250">
          <cell r="E250" t="str">
            <v>8MJ-8MJ-8MJ</v>
          </cell>
          <cell r="F250" t="str">
            <v>Тройник</v>
          </cell>
          <cell r="G250">
            <v>23</v>
          </cell>
          <cell r="J250" t="str">
            <v>三通接头</v>
          </cell>
        </row>
        <row r="251">
          <cell r="E251" t="str">
            <v>6SL3055-0AA00-4CA5</v>
          </cell>
          <cell r="F251" t="str">
            <v>Панель оператора AOP30</v>
          </cell>
          <cell r="G251">
            <v>2409</v>
          </cell>
          <cell r="J251" t="str">
            <v xml:space="preserve">高级操作面板AOP30 </v>
          </cell>
        </row>
        <row r="252">
          <cell r="E252" t="str">
            <v>6SL3055-0AA00-5CA2</v>
          </cell>
          <cell r="F252" t="str">
            <v>Модуль датчика SMC30</v>
          </cell>
          <cell r="G252">
            <v>612</v>
          </cell>
          <cell r="J252" t="str">
            <v>机柜安装式编码器模块SMC30</v>
          </cell>
        </row>
        <row r="253">
          <cell r="E253" t="str">
            <v>6SL3040-1MA01-0AA0</v>
          </cell>
          <cell r="F253" t="str">
            <v xml:space="preserve">Модуль управления CU320-2PN </v>
          </cell>
          <cell r="G253">
            <v>1859</v>
          </cell>
          <cell r="J253" t="str">
            <v>控制模块 CU320-2 PN</v>
          </cell>
        </row>
        <row r="254">
          <cell r="E254" t="str">
            <v>6SL3054-0EF01-1BA0</v>
          </cell>
          <cell r="F254" t="str">
            <v>Карта CF</v>
          </cell>
          <cell r="G254">
            <v>1245</v>
          </cell>
          <cell r="J254" t="str">
            <v xml:space="preserve"> CF卡</v>
          </cell>
        </row>
        <row r="255">
          <cell r="E255" t="str">
            <v>6SE7090-0XX84-3DB0</v>
          </cell>
          <cell r="F255" t="str">
            <v>Коммуникационная плата тахогенератора DTI</v>
          </cell>
          <cell r="G255">
            <v>1353</v>
          </cell>
          <cell r="J255" t="str">
            <v>DTI板</v>
          </cell>
        </row>
        <row r="256">
          <cell r="E256" t="str">
            <v>6SL3055-0AA00-3AA1</v>
          </cell>
          <cell r="F256" t="str">
            <v>Терминальный модуль TM31</v>
          </cell>
          <cell r="G256">
            <v>1483</v>
          </cell>
          <cell r="J256" t="str">
            <v>TM31 端子扩展模块</v>
          </cell>
        </row>
        <row r="257">
          <cell r="E257" t="str">
            <v>6SL3210-1SE22-5UA0</v>
          </cell>
          <cell r="F257" t="str">
            <v>Блок преобразования частоты PM340</v>
          </cell>
          <cell r="G257">
            <v>4655</v>
          </cell>
          <cell r="J257" t="str">
            <v>PM340变频模块</v>
          </cell>
        </row>
        <row r="258">
          <cell r="E258" t="str">
            <v>6SL3040-1LA01-0AA0</v>
          </cell>
          <cell r="F258" t="str">
            <v xml:space="preserve">Модуль управления CU310-2PN </v>
          </cell>
          <cell r="G258">
            <v>2782</v>
          </cell>
          <cell r="J258" t="str">
            <v xml:space="preserve">控制模块 CU310-2PN </v>
          </cell>
        </row>
        <row r="259">
          <cell r="E259" t="str">
            <v>6AG1333-4BA00-7AA0</v>
          </cell>
          <cell r="F259" t="str">
            <v>Модульный блок питания</v>
          </cell>
          <cell r="G259">
            <v>1801</v>
          </cell>
          <cell r="J259" t="str">
            <v>负载电源模块</v>
          </cell>
        </row>
        <row r="260">
          <cell r="E260" t="str">
            <v>6AG1516-3AN00-2AB0</v>
          </cell>
          <cell r="F260" t="str">
            <v>CPU</v>
          </cell>
          <cell r="G260">
            <v>27658</v>
          </cell>
          <cell r="J260" t="str">
            <v xml:space="preserve">CPU 1516-3PN/DP </v>
          </cell>
        </row>
        <row r="261">
          <cell r="E261" t="str">
            <v>6ES 7954-8LF02-0AA0</v>
          </cell>
          <cell r="F261" t="str">
            <v>Карта накопления данных</v>
          </cell>
          <cell r="G261">
            <v>639</v>
          </cell>
          <cell r="J261" t="str">
            <v xml:space="preserve">附件 存储卡 </v>
          </cell>
        </row>
        <row r="262">
          <cell r="E262" t="str">
            <v>6AG1521-1FH00-7AA0</v>
          </cell>
          <cell r="F262" t="str">
            <v>S7-1500 Модуль ввода</v>
          </cell>
          <cell r="G262">
            <v>1602</v>
          </cell>
          <cell r="J262" t="str">
            <v xml:space="preserve">S7-1500数字量输入模块 </v>
          </cell>
        </row>
        <row r="263">
          <cell r="E263" t="str">
            <v>6AG1521-1BH00-7AB0</v>
          </cell>
          <cell r="F263" t="str">
            <v>S7-1500 Модуль ввода</v>
          </cell>
          <cell r="G263">
            <v>1395</v>
          </cell>
          <cell r="J263" t="str">
            <v xml:space="preserve">S7-1500数字量输入模块 </v>
          </cell>
        </row>
        <row r="264">
          <cell r="E264" t="str">
            <v>6AG1522-5HF00-2AB0</v>
          </cell>
          <cell r="F264" t="str">
            <v>S7-1501 Модуль вывода</v>
          </cell>
          <cell r="G264">
            <v>2389</v>
          </cell>
          <cell r="J264" t="str">
            <v xml:space="preserve">S7-1500数字量输出模块 </v>
          </cell>
        </row>
        <row r="265">
          <cell r="E265" t="str">
            <v>6AG1531-7KF00-7AB0</v>
          </cell>
          <cell r="F265" t="str">
            <v>S7-1500 Модуль ввода</v>
          </cell>
          <cell r="G265">
            <v>4199</v>
          </cell>
          <cell r="J265" t="str">
            <v xml:space="preserve">S7-1500模拟量输入模块 </v>
          </cell>
        </row>
        <row r="266">
          <cell r="E266" t="str">
            <v>6ES7551-1AB00-0AB0</v>
          </cell>
          <cell r="F266" t="str">
            <v>Локационный модуль</v>
          </cell>
          <cell r="G266">
            <v>1485</v>
          </cell>
          <cell r="J266" t="str">
            <v xml:space="preserve">定位模块 </v>
          </cell>
        </row>
        <row r="267">
          <cell r="E267" t="str">
            <v>6AG1155-5AA00-7AB0</v>
          </cell>
          <cell r="F267" t="str">
            <v>Интерфейсный модуль</v>
          </cell>
          <cell r="G267">
            <v>3313</v>
          </cell>
          <cell r="J267" t="str">
            <v>接口模块</v>
          </cell>
        </row>
        <row r="268">
          <cell r="E268" t="str">
            <v>6AV2124-0GC01-0AX0</v>
          </cell>
          <cell r="F268" t="str">
            <v>Панель оператора TP700</v>
          </cell>
          <cell r="G268">
            <v>2409</v>
          </cell>
          <cell r="J268" t="str">
            <v>TP700</v>
          </cell>
        </row>
        <row r="269">
          <cell r="E269" t="str">
            <v>6AV2124-0MC01-0AX0</v>
          </cell>
          <cell r="F269" t="str">
            <v>Панель TP1200</v>
          </cell>
          <cell r="G269">
            <v>5634</v>
          </cell>
          <cell r="J269" t="str">
            <v>TP1200</v>
          </cell>
        </row>
        <row r="270">
          <cell r="E270" t="str">
            <v>CT-AHD.12</v>
          </cell>
          <cell r="F270" t="str">
            <v>Реле времени</v>
          </cell>
          <cell r="G270">
            <v>144</v>
          </cell>
          <cell r="J270" t="str">
            <v>断电延时电子时间继电器</v>
          </cell>
        </row>
        <row r="271">
          <cell r="E271" t="str">
            <v>CAD-32M7C</v>
          </cell>
          <cell r="F271" t="str">
            <v>Реле управления</v>
          </cell>
          <cell r="G271">
            <v>29</v>
          </cell>
          <cell r="J271" t="str">
            <v>控制继电器</v>
          </cell>
        </row>
        <row r="272">
          <cell r="E272" t="str">
            <v>DY-32/60C</v>
          </cell>
          <cell r="F272" t="str">
            <v>Реле напряжения</v>
          </cell>
          <cell r="G272">
            <v>172</v>
          </cell>
          <cell r="J272" t="str">
            <v>电压继电器</v>
          </cell>
        </row>
        <row r="273">
          <cell r="E273" t="str">
            <v>CM-PFS</v>
          </cell>
          <cell r="F273" t="str">
            <v>Реле контроля 3-фазного напряжения 320-520В AC, 5А</v>
          </cell>
          <cell r="G273">
            <v>127</v>
          </cell>
          <cell r="J273" t="str">
            <v>相序继电器</v>
          </cell>
        </row>
        <row r="274">
          <cell r="E274" t="str">
            <v>RXM2AB2BD</v>
          </cell>
          <cell r="F274" t="str">
            <v>Миниатюрное реле</v>
          </cell>
          <cell r="G274">
            <v>29</v>
          </cell>
          <cell r="J274" t="str">
            <v xml:space="preserve">微型继电器 </v>
          </cell>
        </row>
        <row r="275">
          <cell r="E275" t="str">
            <v>iC65N-D 63A/4P</v>
          </cell>
          <cell r="F275" t="str">
            <v>Выключатель</v>
          </cell>
          <cell r="G275">
            <v>120</v>
          </cell>
          <cell r="J275" t="str">
            <v>小型断路器</v>
          </cell>
        </row>
        <row r="276">
          <cell r="E276" t="str">
            <v>iC65N-D 63A/3P</v>
          </cell>
          <cell r="F276" t="str">
            <v>Выключатель</v>
          </cell>
          <cell r="G276">
            <v>84</v>
          </cell>
          <cell r="J276" t="str">
            <v xml:space="preserve">小型断路器 </v>
          </cell>
        </row>
        <row r="277">
          <cell r="E277" t="str">
            <v>iC65N-D 63A/2P</v>
          </cell>
          <cell r="F277" t="str">
            <v>Выключатель</v>
          </cell>
          <cell r="G277">
            <v>63</v>
          </cell>
          <cell r="J277" t="str">
            <v xml:space="preserve">小型断路器 </v>
          </cell>
        </row>
        <row r="278">
          <cell r="E278" t="str">
            <v>iC65N-D 40A/3P</v>
          </cell>
          <cell r="F278" t="str">
            <v>Выключатель</v>
          </cell>
          <cell r="G278">
            <v>63</v>
          </cell>
          <cell r="J278" t="str">
            <v xml:space="preserve">小型断路器 </v>
          </cell>
        </row>
        <row r="279">
          <cell r="E279" t="str">
            <v>iC65N-D 40A/2P</v>
          </cell>
          <cell r="F279" t="str">
            <v>Выключатель</v>
          </cell>
          <cell r="G279">
            <v>47</v>
          </cell>
          <cell r="J279" t="str">
            <v>小型断路器</v>
          </cell>
        </row>
        <row r="280">
          <cell r="E280" t="str">
            <v>iC65N-D 32A/4P</v>
          </cell>
          <cell r="F280" t="str">
            <v>Выключатель</v>
          </cell>
          <cell r="G280">
            <v>86</v>
          </cell>
          <cell r="J280" t="str">
            <v>小型断路器</v>
          </cell>
        </row>
        <row r="281">
          <cell r="E281" t="str">
            <v>iC65N-D 32A/3P</v>
          </cell>
          <cell r="F281" t="str">
            <v>Выключатель</v>
          </cell>
          <cell r="G281">
            <v>62</v>
          </cell>
          <cell r="J281" t="str">
            <v xml:space="preserve">小型断路器 </v>
          </cell>
        </row>
        <row r="282">
          <cell r="E282" t="str">
            <v>iC65N-C 32A/2P</v>
          </cell>
          <cell r="F282" t="str">
            <v>Выключатель</v>
          </cell>
          <cell r="G282">
            <v>30</v>
          </cell>
          <cell r="J282" t="str">
            <v>小型断路器</v>
          </cell>
        </row>
        <row r="283">
          <cell r="E283" t="str">
            <v>iC65N-D 32A/1P</v>
          </cell>
          <cell r="F283" t="str">
            <v>Выключатель</v>
          </cell>
          <cell r="G283">
            <v>18</v>
          </cell>
          <cell r="J283" t="str">
            <v>小型断路器</v>
          </cell>
        </row>
        <row r="284">
          <cell r="E284" t="str">
            <v>iC65N-C 32A/1P</v>
          </cell>
          <cell r="F284" t="str">
            <v>Выключатель</v>
          </cell>
          <cell r="G284">
            <v>13</v>
          </cell>
          <cell r="J284" t="str">
            <v>小型断路器</v>
          </cell>
        </row>
        <row r="285">
          <cell r="E285" t="str">
            <v>iC65N-D 25A/2P</v>
          </cell>
          <cell r="F285" t="str">
            <v>Выключатель</v>
          </cell>
          <cell r="G285">
            <v>42</v>
          </cell>
          <cell r="J285" t="str">
            <v>小型断路器</v>
          </cell>
        </row>
        <row r="286">
          <cell r="E286" t="str">
            <v>iC65N-D 20A/3P</v>
          </cell>
          <cell r="F286" t="str">
            <v>Выключатель</v>
          </cell>
          <cell r="G286">
            <v>57</v>
          </cell>
          <cell r="J286" t="str">
            <v>小型断路器</v>
          </cell>
        </row>
        <row r="287">
          <cell r="E287" t="str">
            <v>iC65N-D 20A/2P</v>
          </cell>
          <cell r="F287" t="str">
            <v>Выключатель</v>
          </cell>
          <cell r="G287">
            <v>37</v>
          </cell>
          <cell r="J287" t="str">
            <v>小型断路器</v>
          </cell>
        </row>
        <row r="288">
          <cell r="E288" t="str">
            <v>iC65N-C 20A/2P</v>
          </cell>
          <cell r="F288" t="str">
            <v>Выключатель</v>
          </cell>
          <cell r="G288">
            <v>27</v>
          </cell>
          <cell r="J288" t="str">
            <v>小型断路器</v>
          </cell>
        </row>
        <row r="289">
          <cell r="E289" t="str">
            <v>iC65N-D 20A/1P</v>
          </cell>
          <cell r="F289" t="str">
            <v>Выключатель</v>
          </cell>
          <cell r="G289">
            <v>16</v>
          </cell>
          <cell r="J289" t="str">
            <v>小型断路器</v>
          </cell>
        </row>
        <row r="290">
          <cell r="E290" t="str">
            <v>iC65N-C 16A/3P</v>
          </cell>
          <cell r="F290" t="str">
            <v>Выключатель</v>
          </cell>
          <cell r="G290">
            <v>43</v>
          </cell>
          <cell r="J290" t="str">
            <v>小型断路器</v>
          </cell>
        </row>
        <row r="291">
          <cell r="E291" t="str">
            <v>iC65N-D 16A/2P</v>
          </cell>
          <cell r="F291" t="str">
            <v>Выключатель</v>
          </cell>
          <cell r="G291">
            <v>37</v>
          </cell>
          <cell r="J291" t="str">
            <v>小型断路器</v>
          </cell>
        </row>
        <row r="292">
          <cell r="E292" t="str">
            <v>iC65N-D 16A/1P</v>
          </cell>
          <cell r="F292" t="str">
            <v>Выключатель</v>
          </cell>
          <cell r="G292">
            <v>16</v>
          </cell>
          <cell r="J292" t="str">
            <v>小型断路器</v>
          </cell>
        </row>
        <row r="293">
          <cell r="E293" t="str">
            <v>iC65N-C 10A/3P</v>
          </cell>
          <cell r="F293" t="str">
            <v>Выключатель</v>
          </cell>
          <cell r="G293">
            <v>43</v>
          </cell>
          <cell r="J293" t="str">
            <v>小型断路器</v>
          </cell>
        </row>
        <row r="294">
          <cell r="E294" t="str">
            <v>iC65N-D 10A/2P</v>
          </cell>
          <cell r="F294" t="str">
            <v>Выключатель</v>
          </cell>
          <cell r="G294">
            <v>37</v>
          </cell>
          <cell r="J294" t="str">
            <v>小型断路器</v>
          </cell>
        </row>
        <row r="295">
          <cell r="E295" t="str">
            <v>iC65N-C 10A/2P</v>
          </cell>
          <cell r="F295" t="str">
            <v>Выключатель</v>
          </cell>
          <cell r="G295">
            <v>27</v>
          </cell>
          <cell r="J295" t="str">
            <v>小型断路器</v>
          </cell>
        </row>
        <row r="296">
          <cell r="E296" t="str">
            <v>iC65N-D 10A/1P</v>
          </cell>
          <cell r="F296" t="str">
            <v>Выключатель</v>
          </cell>
          <cell r="G296">
            <v>16</v>
          </cell>
          <cell r="J296" t="str">
            <v>小型断路器</v>
          </cell>
        </row>
        <row r="297">
          <cell r="E297" t="str">
            <v>iOF</v>
          </cell>
          <cell r="F297" t="str">
            <v>Соединительная панель</v>
          </cell>
          <cell r="G297">
            <v>31</v>
          </cell>
          <cell r="J297" t="str">
            <v>附件-状态指示接点</v>
          </cell>
        </row>
        <row r="298">
          <cell r="E298" t="str">
            <v>C652P40A17322+C652P40A17892</v>
          </cell>
          <cell r="F298" t="str">
            <v>Прерыватель утечки тока</v>
          </cell>
          <cell r="G298">
            <v>149</v>
          </cell>
          <cell r="J298" t="str">
            <v>漏电断路器</v>
          </cell>
        </row>
        <row r="299">
          <cell r="E299" t="str">
            <v>LRD-14C</v>
          </cell>
          <cell r="F299" t="str">
            <v>Тепловое реле перегрузки</v>
          </cell>
          <cell r="G299">
            <v>36</v>
          </cell>
          <cell r="J299" t="str">
            <v>热过载继电器</v>
          </cell>
        </row>
        <row r="300">
          <cell r="E300" t="str">
            <v>LRD-10C</v>
          </cell>
          <cell r="F300" t="str">
            <v>Тепловое реле перегрузки</v>
          </cell>
          <cell r="G300">
            <v>36</v>
          </cell>
          <cell r="J300" t="str">
            <v>热过载继电器</v>
          </cell>
        </row>
        <row r="301">
          <cell r="E301" t="str">
            <v>LRD-21C</v>
          </cell>
          <cell r="F301" t="str">
            <v>Тепловое реле перегрузки</v>
          </cell>
          <cell r="G301">
            <v>58</v>
          </cell>
          <cell r="J301" t="str">
            <v>热过载继电器</v>
          </cell>
        </row>
        <row r="302">
          <cell r="E302" t="str">
            <v>LRD-08C</v>
          </cell>
          <cell r="F302" t="str">
            <v>Тепловое реле перегрузки</v>
          </cell>
          <cell r="G302">
            <v>36</v>
          </cell>
          <cell r="J302" t="str">
            <v>热过载继电器</v>
          </cell>
        </row>
        <row r="303">
          <cell r="E303" t="str">
            <v>LRD-3357C</v>
          </cell>
          <cell r="F303" t="str">
            <v>Тепловое реле перегрузки</v>
          </cell>
          <cell r="G303">
            <v>76</v>
          </cell>
          <cell r="J303" t="str">
            <v>热过载继电器</v>
          </cell>
        </row>
        <row r="304">
          <cell r="E304" t="str">
            <v>LRD-35C</v>
          </cell>
          <cell r="F304" t="str">
            <v>Тепловое реле перегрузки</v>
          </cell>
          <cell r="G304">
            <v>54</v>
          </cell>
          <cell r="J304" t="str">
            <v>热过载继电器</v>
          </cell>
        </row>
        <row r="305">
          <cell r="E305" t="str">
            <v>LRD-32C</v>
          </cell>
          <cell r="F305" t="str">
            <v>Тепловое реле перегрузки</v>
          </cell>
          <cell r="G305">
            <v>41</v>
          </cell>
          <cell r="J305" t="str">
            <v>热过载继电器</v>
          </cell>
        </row>
        <row r="306">
          <cell r="E306" t="str">
            <v>LRD-3363</v>
          </cell>
          <cell r="F306" t="str">
            <v>Тепловое реле перегрузки</v>
          </cell>
          <cell r="G306">
            <v>79</v>
          </cell>
          <cell r="J306" t="str">
            <v>热过载继电器</v>
          </cell>
        </row>
        <row r="307">
          <cell r="E307" t="str">
            <v>LC1-D11500M5C</v>
          </cell>
          <cell r="F307" t="str">
            <v xml:space="preserve">Контактор </v>
          </cell>
          <cell r="G307">
            <v>308</v>
          </cell>
          <cell r="J307" t="str">
            <v>接触器</v>
          </cell>
        </row>
        <row r="308">
          <cell r="E308" t="str">
            <v>LC1-D95M7C</v>
          </cell>
          <cell r="F308" t="str">
            <v xml:space="preserve">Контактор </v>
          </cell>
          <cell r="G308">
            <v>203</v>
          </cell>
          <cell r="J308" t="str">
            <v>接触器</v>
          </cell>
        </row>
        <row r="309">
          <cell r="E309" t="str">
            <v>LC1-D80M7C</v>
          </cell>
          <cell r="F309" t="str">
            <v xml:space="preserve">Контактор </v>
          </cell>
          <cell r="G309">
            <v>158</v>
          </cell>
          <cell r="J309" t="str">
            <v>接触器</v>
          </cell>
        </row>
        <row r="310">
          <cell r="E310" t="str">
            <v>LC1-D38M7C</v>
          </cell>
          <cell r="F310" t="str">
            <v xml:space="preserve">Контактор </v>
          </cell>
          <cell r="G310">
            <v>74</v>
          </cell>
          <cell r="J310" t="str">
            <v>接触器</v>
          </cell>
        </row>
        <row r="311">
          <cell r="E311" t="str">
            <v>LC1-D32M7C</v>
          </cell>
          <cell r="F311" t="str">
            <v xml:space="preserve">Контактор </v>
          </cell>
          <cell r="G311">
            <v>56</v>
          </cell>
          <cell r="J311" t="str">
            <v>接触器</v>
          </cell>
        </row>
        <row r="312">
          <cell r="E312" t="str">
            <v>LC1-D25M7C</v>
          </cell>
          <cell r="F312" t="str">
            <v xml:space="preserve">Контактор </v>
          </cell>
          <cell r="G312">
            <v>46</v>
          </cell>
          <cell r="J312" t="str">
            <v>接触器</v>
          </cell>
        </row>
        <row r="313">
          <cell r="E313" t="str">
            <v>LC1-D18M7C</v>
          </cell>
          <cell r="F313" t="str">
            <v xml:space="preserve">Контактор </v>
          </cell>
          <cell r="G313">
            <v>29</v>
          </cell>
          <cell r="J313" t="str">
            <v>接触器</v>
          </cell>
        </row>
        <row r="314">
          <cell r="E314" t="str">
            <v>LC1-D12M7C</v>
          </cell>
          <cell r="F314" t="str">
            <v xml:space="preserve">Контактор </v>
          </cell>
          <cell r="G314">
            <v>29</v>
          </cell>
          <cell r="J314" t="str">
            <v>接触器</v>
          </cell>
        </row>
        <row r="315">
          <cell r="E315" t="str">
            <v>LA4DA2U</v>
          </cell>
          <cell r="F315" t="str">
            <v>Резистивно-ёмкостной модуль</v>
          </cell>
          <cell r="G315">
            <v>17</v>
          </cell>
          <cell r="J315" t="str">
            <v>附件 阻容模块</v>
          </cell>
        </row>
        <row r="316">
          <cell r="E316" t="str">
            <v>LAD4RCU</v>
          </cell>
          <cell r="F316" t="str">
            <v>Резистивно-ёмкостной модуль</v>
          </cell>
          <cell r="G316">
            <v>13</v>
          </cell>
          <cell r="J316" t="str">
            <v>附件 阻容模块</v>
          </cell>
        </row>
        <row r="317">
          <cell r="E317" t="str">
            <v>LADN11C</v>
          </cell>
          <cell r="F317" t="str">
            <v>Блок контактов</v>
          </cell>
          <cell r="G317">
            <v>5</v>
          </cell>
          <cell r="J317" t="str">
            <v>附件</v>
          </cell>
        </row>
        <row r="318">
          <cell r="E318" t="str">
            <v>IB IL 230 PWR IN-PAC</v>
          </cell>
          <cell r="F318" t="str">
            <v>PLC Модуль источника</v>
          </cell>
          <cell r="G318">
            <v>372</v>
          </cell>
          <cell r="J318" t="str">
            <v>PLC内部电源模块</v>
          </cell>
        </row>
        <row r="319">
          <cell r="E319" t="str">
            <v>IB IL 230 DI 1-PAC</v>
          </cell>
          <cell r="F319" t="str">
            <v>Модуль ввода</v>
          </cell>
          <cell r="G319">
            <v>234</v>
          </cell>
          <cell r="J319" t="str">
            <v>数字量输入模块</v>
          </cell>
        </row>
        <row r="320">
          <cell r="E320" t="str">
            <v>IB IL 24/230 DOR1/W-PAC</v>
          </cell>
          <cell r="F320" t="str">
            <v>Модуль вывода</v>
          </cell>
          <cell r="G320">
            <v>250</v>
          </cell>
          <cell r="J320" t="str">
            <v>数字量输出模块</v>
          </cell>
        </row>
        <row r="321">
          <cell r="E321">
            <v>2701872</v>
          </cell>
          <cell r="F321" t="str">
            <v>Карта накопителя</v>
          </cell>
          <cell r="G321">
            <v>643</v>
          </cell>
          <cell r="J321" t="str">
            <v>内存卡</v>
          </cell>
        </row>
        <row r="322">
          <cell r="E322" t="str">
            <v>ILC 131 ETH</v>
          </cell>
          <cell r="F322" t="str">
            <v>Беспроводной модуль</v>
          </cell>
          <cell r="G322">
            <v>6568</v>
          </cell>
          <cell r="J322" t="str">
            <v xml:space="preserve">无线附件模块 </v>
          </cell>
        </row>
        <row r="323">
          <cell r="E323" t="str">
            <v>IB IL DOR LV-SET-PAC</v>
          </cell>
          <cell r="F323" t="str">
            <v>Изолированный модуль</v>
          </cell>
          <cell r="G323">
            <v>180</v>
          </cell>
          <cell r="J323" t="str">
            <v>隔离模块</v>
          </cell>
        </row>
        <row r="324">
          <cell r="E324" t="str">
            <v>FL WLAN EPA RSMA</v>
          </cell>
          <cell r="F324" t="str">
            <v>Беспроводной модуль</v>
          </cell>
          <cell r="G324">
            <v>3040</v>
          </cell>
          <cell r="J324" t="str">
            <v xml:space="preserve">无线模块  </v>
          </cell>
        </row>
        <row r="325">
          <cell r="E325" t="str">
            <v>SAC-4P-10.0-PUR/M12FS</v>
          </cell>
          <cell r="F325" t="str">
            <v>Кабель датчика</v>
          </cell>
          <cell r="G325">
            <v>126</v>
          </cell>
          <cell r="J325" t="str">
            <v>附件</v>
          </cell>
        </row>
        <row r="326">
          <cell r="E326" t="str">
            <v>VS-MSD-IP20-93E/10.0</v>
          </cell>
          <cell r="F326" t="str">
            <v>Экранированный кабель</v>
          </cell>
          <cell r="G326">
            <v>548</v>
          </cell>
          <cell r="J326" t="str">
            <v>附件</v>
          </cell>
        </row>
        <row r="327">
          <cell r="E327" t="str">
            <v>FL EPA RMS</v>
          </cell>
          <cell r="F327" t="str">
            <v>Адаптер монтажной рейки</v>
          </cell>
          <cell r="G327">
            <v>274</v>
          </cell>
          <cell r="J327" t="str">
            <v>附件</v>
          </cell>
        </row>
        <row r="328">
          <cell r="E328" t="str">
            <v>RAD-PIG-RSMA/N-3</v>
          </cell>
          <cell r="F328" t="str">
            <v>Удлинитель</v>
          </cell>
          <cell r="G328">
            <v>652</v>
          </cell>
          <cell r="J328" t="str">
            <v>延长线</v>
          </cell>
        </row>
        <row r="329">
          <cell r="E329" t="str">
            <v>RAD-ISM-2459-ANT-F00D-6-0</v>
          </cell>
          <cell r="F329" t="str">
            <v>Антенна</v>
          </cell>
          <cell r="G329">
            <v>1648</v>
          </cell>
          <cell r="J329" t="str">
            <v>天线</v>
          </cell>
        </row>
        <row r="330">
          <cell r="E330" t="str">
            <v>QUINT-PS/1AC/24DC/3.5</v>
          </cell>
          <cell r="F330" t="str">
            <v>Внешнее питание</v>
          </cell>
          <cell r="G330">
            <v>908</v>
          </cell>
          <cell r="J330" t="str">
            <v>外部电源</v>
          </cell>
        </row>
        <row r="331">
          <cell r="E331" t="str">
            <v>NVC-P1715C-6</v>
          </cell>
          <cell r="F331" t="str">
            <v>Лампа LED внутри шкафа</v>
          </cell>
          <cell r="G331">
            <v>61</v>
          </cell>
          <cell r="J331" t="str">
            <v>柜内LED灯</v>
          </cell>
        </row>
        <row r="332">
          <cell r="E332" t="str">
            <v>XB2 BA42C</v>
          </cell>
          <cell r="F332" t="str">
            <v>Кнопка</v>
          </cell>
          <cell r="G332">
            <v>10</v>
          </cell>
          <cell r="J332" t="str">
            <v>平头按钮</v>
          </cell>
        </row>
        <row r="333">
          <cell r="E333" t="str">
            <v>XB2 BA31C</v>
          </cell>
          <cell r="F333" t="str">
            <v>Кнопка</v>
          </cell>
          <cell r="G333">
            <v>10</v>
          </cell>
          <cell r="J333" t="str">
            <v>平头按钮</v>
          </cell>
        </row>
        <row r="334">
          <cell r="E334" t="str">
            <v>XB2 BL42C</v>
          </cell>
          <cell r="F334" t="str">
            <v>Кнопка</v>
          </cell>
          <cell r="G334">
            <v>10</v>
          </cell>
          <cell r="J334" t="str">
            <v>凸头按钮</v>
          </cell>
        </row>
        <row r="335">
          <cell r="E335" t="str">
            <v>XB2 BS442C</v>
          </cell>
          <cell r="F335" t="str">
            <v>Кнопка</v>
          </cell>
          <cell r="G335">
            <v>10</v>
          </cell>
          <cell r="J335" t="str">
            <v>按钮</v>
          </cell>
        </row>
        <row r="336">
          <cell r="E336" t="str">
            <v>XB2 BW33M1C</v>
          </cell>
          <cell r="F336" t="str">
            <v>Кнопка с индикатором</v>
          </cell>
          <cell r="G336">
            <v>17</v>
          </cell>
          <cell r="J336" t="str">
            <v>带灯按钮</v>
          </cell>
        </row>
        <row r="337">
          <cell r="E337" t="str">
            <v>XB2 BVM3LC</v>
          </cell>
          <cell r="F337" t="str">
            <v>Индикаторная лампа</v>
          </cell>
          <cell r="G337">
            <v>6</v>
          </cell>
          <cell r="J337" t="str">
            <v>指示灯</v>
          </cell>
        </row>
        <row r="338">
          <cell r="E338" t="str">
            <v>AD16-22SM/R31</v>
          </cell>
          <cell r="F338" t="str">
            <v>Индикаторная лампа со звуковым сигналом</v>
          </cell>
          <cell r="G338">
            <v>8</v>
          </cell>
          <cell r="J338" t="str">
            <v>闪光蜂鸣器 红色 220VAC</v>
          </cell>
        </row>
        <row r="339">
          <cell r="E339" t="str">
            <v>LW39-10-40B-023/2</v>
          </cell>
          <cell r="F339" t="str">
            <v>Переключатель</v>
          </cell>
          <cell r="G339">
            <v>62</v>
          </cell>
          <cell r="J339" t="str">
            <v>转换开关</v>
          </cell>
        </row>
        <row r="340">
          <cell r="E340" t="str">
            <v>3" 220VAC</v>
          </cell>
          <cell r="F340" t="str">
            <v>Электрозвонок</v>
          </cell>
          <cell r="G340">
            <v>20</v>
          </cell>
          <cell r="J340" t="str">
            <v>电铃</v>
          </cell>
        </row>
        <row r="341">
          <cell r="E341" t="str">
            <v>XB2 BD21C</v>
          </cell>
          <cell r="F341" t="str">
            <v>Селекторный переключатель</v>
          </cell>
          <cell r="G341">
            <v>15</v>
          </cell>
          <cell r="J341" t="str">
            <v>开关</v>
          </cell>
        </row>
        <row r="342">
          <cell r="E342" t="str">
            <v>XB2 BD25C</v>
          </cell>
          <cell r="F342" t="str">
            <v>Селекторный переключатель</v>
          </cell>
          <cell r="G342">
            <v>15</v>
          </cell>
          <cell r="J342" t="str">
            <v>开关</v>
          </cell>
        </row>
        <row r="343">
          <cell r="E343" t="str">
            <v>XB2 BD33C</v>
          </cell>
          <cell r="F343" t="str">
            <v>Селекторный переключатель</v>
          </cell>
          <cell r="G343">
            <v>15</v>
          </cell>
          <cell r="J343" t="str">
            <v>开关</v>
          </cell>
        </row>
        <row r="344">
          <cell r="E344" t="str">
            <v>6GK1901-1BB10-2AB0</v>
          </cell>
          <cell r="F344" t="str">
            <v>ProfiNET быстродействующий разъём</v>
          </cell>
          <cell r="G344">
            <v>446</v>
          </cell>
          <cell r="J344" t="str">
            <v>ProfiNET快速连接器</v>
          </cell>
        </row>
        <row r="345">
          <cell r="E345" t="str">
            <v>DAMM581212EK710SBB</v>
          </cell>
          <cell r="F345" t="str">
            <v>Кодировщик расстояния (пути)</v>
          </cell>
          <cell r="G345">
            <v>4522</v>
          </cell>
          <cell r="J345" t="str">
            <v xml:space="preserve">绝对值编码器 </v>
          </cell>
        </row>
        <row r="346">
          <cell r="E346" t="str">
            <v>521-078-413ch</v>
          </cell>
          <cell r="F346" t="str">
            <v>Муфта соединительная</v>
          </cell>
          <cell r="G346">
            <v>1506</v>
          </cell>
          <cell r="J346" t="str">
            <v>联轴器</v>
          </cell>
        </row>
        <row r="347">
          <cell r="E347" t="str">
            <v>8LS3-J</v>
          </cell>
          <cell r="F347" t="str">
            <v>Ограничитель вертикальной лестницы</v>
          </cell>
          <cell r="G347">
            <v>167</v>
          </cell>
          <cell r="J347" t="str">
            <v>直梯子限位</v>
          </cell>
        </row>
        <row r="348">
          <cell r="E348" t="str">
            <v>Ni20U-M30-ADZ30X2</v>
          </cell>
          <cell r="F348" t="str">
            <v>Концевой выключатель стрелы</v>
          </cell>
          <cell r="G348">
            <v>574</v>
          </cell>
          <cell r="J348" t="str">
            <v>大臂限位</v>
          </cell>
        </row>
        <row r="349">
          <cell r="E349" t="str">
            <v>NFC9186A</v>
          </cell>
          <cell r="F349" t="str">
            <v>LED светильник</v>
          </cell>
          <cell r="G349">
            <v>96</v>
          </cell>
          <cell r="J349" t="str">
            <v>LED平台灯灯盘</v>
          </cell>
        </row>
        <row r="350">
          <cell r="E350" t="str">
            <v>NTC9280-200</v>
          </cell>
          <cell r="F350" t="str">
            <v>LED светильник</v>
          </cell>
          <cell r="G350">
            <v>166</v>
          </cell>
          <cell r="J350" t="str">
            <v>LED投光灯灯盘</v>
          </cell>
        </row>
        <row r="351">
          <cell r="E351" t="str">
            <v>NTC9280-450</v>
          </cell>
          <cell r="F351" t="str">
            <v>LED светильник</v>
          </cell>
          <cell r="G351">
            <v>177</v>
          </cell>
          <cell r="J351" t="str">
            <v>LED投光灯灯盘</v>
          </cell>
        </row>
        <row r="352">
          <cell r="E352" t="str">
            <v>6SL3352-3AG35-8AA0</v>
          </cell>
          <cell r="F352" t="str">
            <v>IPD</v>
          </cell>
          <cell r="G352">
            <v>226</v>
          </cell>
          <cell r="J352" t="str">
            <v>IPD</v>
          </cell>
        </row>
        <row r="353">
          <cell r="E353" t="str">
            <v>6SL3352-1AG35-8CA1</v>
          </cell>
          <cell r="F353" t="str">
            <v>Модуль источника тока</v>
          </cell>
          <cell r="G353">
            <v>41689</v>
          </cell>
          <cell r="J353" t="str">
            <v>功率模块1</v>
          </cell>
        </row>
        <row r="354">
          <cell r="E354" t="str">
            <v>6SL3352-1AG35-8EA1</v>
          </cell>
          <cell r="F354" t="str">
            <v>Модуль источника тока</v>
          </cell>
          <cell r="G354">
            <v>46168</v>
          </cell>
          <cell r="J354" t="str">
            <v>功率模块2</v>
          </cell>
        </row>
        <row r="355">
          <cell r="E355" t="str">
            <v>6SL3350-6TK00-0EA0</v>
          </cell>
          <cell r="F355" t="str">
            <v>CIM</v>
          </cell>
          <cell r="G355">
            <v>9192</v>
          </cell>
          <cell r="J355" t="str">
            <v>CIM</v>
          </cell>
        </row>
        <row r="356">
          <cell r="E356" t="str">
            <v>JHI:A5E00432081</v>
          </cell>
          <cell r="F356" t="str">
            <v>T10</v>
          </cell>
          <cell r="G356">
            <v>1464</v>
          </cell>
          <cell r="J356" t="str">
            <v>T10</v>
          </cell>
        </row>
        <row r="357">
          <cell r="E357" t="str">
            <v>6SL3352-3AG38-1AA0</v>
          </cell>
          <cell r="F357" t="str">
            <v>Моторный модуль IPD(800KW)</v>
          </cell>
          <cell r="G357">
            <v>297</v>
          </cell>
          <cell r="J357" t="str">
            <v>IPD</v>
          </cell>
        </row>
        <row r="358">
          <cell r="E358" t="str">
            <v>6SL3352-1AG38-1FA1</v>
          </cell>
          <cell r="F358" t="str">
            <v>Модуль источника тока(800KW)</v>
          </cell>
          <cell r="G358">
            <v>47030</v>
          </cell>
          <cell r="J358" t="str">
            <v>功率模块</v>
          </cell>
        </row>
        <row r="359">
          <cell r="E359" t="str">
            <v>JHI:A5E00362539</v>
          </cell>
          <cell r="F359" t="str">
            <v>T20</v>
          </cell>
          <cell r="G359">
            <v>723</v>
          </cell>
          <cell r="J359" t="str">
            <v>T20</v>
          </cell>
        </row>
        <row r="360">
          <cell r="E360" t="str">
            <v>6EP1336-3BA10</v>
          </cell>
          <cell r="F360" t="str">
            <v>T24</v>
          </cell>
          <cell r="G360">
            <v>964</v>
          </cell>
          <cell r="J360" t="str">
            <v>T24</v>
          </cell>
        </row>
        <row r="361">
          <cell r="E361" t="str">
            <v>3NE1436-2，690V,630A</v>
          </cell>
          <cell r="F361" t="str">
            <v>Быстроплавкий предохранитель</v>
          </cell>
          <cell r="G361">
            <v>342</v>
          </cell>
          <cell r="J361" t="str">
            <v>FUSE</v>
          </cell>
        </row>
        <row r="362">
          <cell r="E362" t="str">
            <v>6SY8101-0AC01</v>
          </cell>
          <cell r="F362" t="str">
            <v>B101</v>
          </cell>
          <cell r="G362">
            <v>16884</v>
          </cell>
          <cell r="J362" t="str">
            <v>B101</v>
          </cell>
        </row>
        <row r="363">
          <cell r="E363" t="str">
            <v>6SL3053-0AA00-3AA1</v>
          </cell>
          <cell r="F363" t="str">
            <v>Модуль измерения напряжения VSM10</v>
          </cell>
          <cell r="G363">
            <v>1237</v>
          </cell>
          <cell r="J363" t="str">
            <v>VSM10</v>
          </cell>
        </row>
        <row r="364">
          <cell r="E364" t="str">
            <v>6SL3353-3AG41-0AA0</v>
          </cell>
          <cell r="F364" t="str">
            <v>Моторный модуль IPD(1000KW)</v>
          </cell>
          <cell r="G364">
            <v>315</v>
          </cell>
          <cell r="J364" t="str">
            <v>IPD</v>
          </cell>
        </row>
        <row r="365">
          <cell r="E365" t="str">
            <v>6SL3352-1AG41-0FA1</v>
          </cell>
          <cell r="F365" t="str">
            <v>Модуль источника тока(1000KW)</v>
          </cell>
          <cell r="G365">
            <v>55468</v>
          </cell>
          <cell r="J365" t="str">
            <v>功率模块</v>
          </cell>
        </row>
        <row r="366">
          <cell r="E366" t="str">
            <v>3RV6011-0JA15</v>
          </cell>
          <cell r="F366" t="str">
            <v>Прерыватель</v>
          </cell>
          <cell r="G366">
            <v>82</v>
          </cell>
          <cell r="J366" t="str">
            <v>BREAKER</v>
          </cell>
        </row>
        <row r="367">
          <cell r="E367" t="str">
            <v>5SY61067CC</v>
          </cell>
          <cell r="F367" t="str">
            <v>Прерыватель</v>
          </cell>
          <cell r="G367">
            <v>28</v>
          </cell>
          <cell r="J367" t="str">
            <v>BREAKER</v>
          </cell>
        </row>
        <row r="368">
          <cell r="E368" t="str">
            <v>6SL3352-7DX00-0AA0</v>
          </cell>
          <cell r="F368" t="str">
            <v>Модуль реле K10, K20</v>
          </cell>
          <cell r="G368">
            <v>163</v>
          </cell>
          <cell r="J368" t="str">
            <v>REALY</v>
          </cell>
        </row>
        <row r="369">
          <cell r="E369" t="str">
            <v>3RT5076-6AF36</v>
          </cell>
          <cell r="F369" t="str">
            <v>Контактор, 690А, 220-240В</v>
          </cell>
          <cell r="G369">
            <v>2536</v>
          </cell>
          <cell r="J369" t="str">
            <v>CONTACTOR</v>
          </cell>
        </row>
        <row r="370">
          <cell r="E370" t="str">
            <v>3RT2016-1AK62</v>
          </cell>
          <cell r="F370" t="str">
            <v>Контактор, 690А, 220-240В</v>
          </cell>
          <cell r="G370">
            <v>42</v>
          </cell>
          <cell r="J370" t="str">
            <v>CONTACTOR</v>
          </cell>
        </row>
        <row r="371">
          <cell r="E371" t="str">
            <v>3RT2916-1BC00</v>
          </cell>
          <cell r="F371" t="str">
            <v>SUTGE-SUPPRESSOR</v>
          </cell>
          <cell r="G371">
            <v>19</v>
          </cell>
          <cell r="J371" t="str">
            <v>SUTGE-SUPPRESSOR</v>
          </cell>
        </row>
        <row r="372">
          <cell r="E372" t="str">
            <v>3RT5044-1AG20</v>
          </cell>
          <cell r="F372" t="str">
            <v>Контактор, 690А, 220-240В</v>
          </cell>
          <cell r="G372">
            <v>134</v>
          </cell>
          <cell r="J372" t="str">
            <v>CONTACTOR</v>
          </cell>
        </row>
        <row r="373">
          <cell r="E373" t="str">
            <v>3RT5926-1BC00</v>
          </cell>
          <cell r="F373" t="str">
            <v>Контактор</v>
          </cell>
          <cell r="G373">
            <v>13</v>
          </cell>
          <cell r="J373" t="str">
            <v>SUTGE-SUPPRESSOR</v>
          </cell>
        </row>
        <row r="374">
          <cell r="E374" t="str">
            <v>3RT6015-1AF01</v>
          </cell>
          <cell r="F374" t="str">
            <v>Контактор, 690А, 220-240В</v>
          </cell>
          <cell r="G374">
            <v>25</v>
          </cell>
          <cell r="J374" t="str">
            <v>CONTACTOR</v>
          </cell>
        </row>
        <row r="375">
          <cell r="E375" t="str">
            <v>3RT6916-1BC00</v>
          </cell>
          <cell r="F375" t="str">
            <v>Контактор</v>
          </cell>
          <cell r="G375">
            <v>13</v>
          </cell>
          <cell r="J375" t="str">
            <v>SUTGE-SUPPRESSOR</v>
          </cell>
        </row>
        <row r="376">
          <cell r="E376" t="str">
            <v>3NA3820-6</v>
          </cell>
          <cell r="F376" t="str">
            <v>Быстроплавкий предохранитель</v>
          </cell>
          <cell r="G376">
            <v>47</v>
          </cell>
          <cell r="J376" t="str">
            <v>FUSE</v>
          </cell>
        </row>
        <row r="377">
          <cell r="E377" t="str">
            <v>3RV1421-1GA10</v>
          </cell>
          <cell r="F377" t="str">
            <v>Прерыватель</v>
          </cell>
          <cell r="G377">
            <v>221</v>
          </cell>
          <cell r="J377" t="str">
            <v>BREAKER</v>
          </cell>
        </row>
        <row r="378">
          <cell r="E378" t="str">
            <v>3RV6021-4BA15</v>
          </cell>
          <cell r="F378" t="str">
            <v>Прерыватель</v>
          </cell>
          <cell r="G378">
            <v>83</v>
          </cell>
          <cell r="J378" t="str">
            <v>BREAKER</v>
          </cell>
        </row>
        <row r="379">
          <cell r="E379" t="str">
            <v>3RV5031-4DA10</v>
          </cell>
          <cell r="F379" t="str">
            <v>Прерыватель</v>
          </cell>
          <cell r="G379">
            <v>174</v>
          </cell>
          <cell r="J379" t="str">
            <v>BREAKER</v>
          </cell>
        </row>
        <row r="380">
          <cell r="E380" t="str">
            <v>3RV5431-4EA10</v>
          </cell>
          <cell r="F380" t="str">
            <v>Прерыватель</v>
          </cell>
          <cell r="G380">
            <v>227</v>
          </cell>
          <cell r="J380" t="str">
            <v>BREAKER</v>
          </cell>
        </row>
        <row r="381">
          <cell r="E381" t="str">
            <v>3RV5901-1E</v>
          </cell>
          <cell r="F381" t="str">
            <v>Прерыватель</v>
          </cell>
          <cell r="G381">
            <v>14</v>
          </cell>
          <cell r="J381" t="str">
            <v>BREAKER,CONTACT</v>
          </cell>
        </row>
        <row r="382">
          <cell r="E382" t="str">
            <v>VNSO 1211AK VRUGN 4.8P1.1+1XPQ55</v>
          </cell>
          <cell r="F382" t="str">
            <v>Левый джойстик</v>
          </cell>
          <cell r="G382">
            <v>3521</v>
          </cell>
          <cell r="J382" t="str">
            <v>左控制器</v>
          </cell>
        </row>
        <row r="383">
          <cell r="E383" t="str">
            <v>VNSO 1211AK VRUGN 4.8P1.10P+2XPQ55</v>
          </cell>
          <cell r="F383" t="str">
            <v>Правый джойстик</v>
          </cell>
          <cell r="G383">
            <v>4623</v>
          </cell>
          <cell r="J383" t="str">
            <v>右控制器</v>
          </cell>
        </row>
        <row r="384">
          <cell r="E384" t="str">
            <v>JCZ5-12/630</v>
          </cell>
          <cell r="F384" t="str">
            <v>Вакуумный контактор</v>
          </cell>
          <cell r="G384">
            <v>1981</v>
          </cell>
          <cell r="J384" t="str">
            <v>真空接触器</v>
          </cell>
        </row>
        <row r="385">
          <cell r="E385" t="str">
            <v>4NIC-K100 20VDC 5A</v>
          </cell>
          <cell r="F385" t="str">
            <v>Модуль источника тока</v>
          </cell>
          <cell r="G385">
            <v>489</v>
          </cell>
          <cell r="J385" t="str">
            <v>朝阳电源</v>
          </cell>
        </row>
        <row r="386">
          <cell r="E386" t="str">
            <v>KH01C-300-001</v>
          </cell>
          <cell r="F386" t="str">
            <v>щёткодержатель</v>
          </cell>
          <cell r="G386">
            <v>165</v>
          </cell>
          <cell r="J386" t="str">
            <v>零环/检测环刷握</v>
          </cell>
        </row>
        <row r="387">
          <cell r="E387" t="str">
            <v>KH04-400-001</v>
          </cell>
          <cell r="F387" t="str">
            <v>щёткодержатель</v>
          </cell>
          <cell r="G387">
            <v>105</v>
          </cell>
          <cell r="J387" t="str">
            <v>380V刷握</v>
          </cell>
        </row>
        <row r="388">
          <cell r="E388" t="str">
            <v>KH04-500-001</v>
          </cell>
          <cell r="F388" t="str">
            <v>щёткодержатель</v>
          </cell>
          <cell r="G388">
            <v>221</v>
          </cell>
          <cell r="J388" t="str">
            <v>690V刷握</v>
          </cell>
        </row>
        <row r="389">
          <cell r="E389" t="str">
            <v>JSR-TH085-14</v>
          </cell>
          <cell r="F389" t="str">
            <v>изолирующее кольцо</v>
          </cell>
          <cell r="G389">
            <v>2366</v>
          </cell>
          <cell r="J389" t="str">
            <v>屏蔽环</v>
          </cell>
        </row>
        <row r="390">
          <cell r="E390" t="str">
            <v>YJ142A</v>
          </cell>
          <cell r="F390" t="str">
            <v>Двигатель открывания днища ковша</v>
          </cell>
          <cell r="G390">
            <v>16796</v>
          </cell>
          <cell r="J390" t="str">
            <v>开斗电动机</v>
          </cell>
        </row>
        <row r="391">
          <cell r="E391" t="str">
            <v>KZN01</v>
          </cell>
          <cell r="F391" t="str">
            <v>Нагревательный прибор</v>
          </cell>
          <cell r="G391">
            <v>4106</v>
          </cell>
          <cell r="J391" t="str">
            <v>卧式加热器</v>
          </cell>
        </row>
        <row r="392">
          <cell r="E392" t="str">
            <v>KZN01A</v>
          </cell>
          <cell r="F392" t="str">
            <v>Нагревательный прибор</v>
          </cell>
          <cell r="G392">
            <v>4292</v>
          </cell>
          <cell r="J392" t="str">
            <v>立式加热器</v>
          </cell>
        </row>
        <row r="393">
          <cell r="E393" t="str">
            <v>KSD301</v>
          </cell>
          <cell r="F393" t="str">
            <v>Регулятор температуры нагревателя</v>
          </cell>
          <cell r="G393">
            <v>86</v>
          </cell>
          <cell r="J393" t="str">
            <v>加热器内温控开关</v>
          </cell>
        </row>
        <row r="394">
          <cell r="E394" t="str">
            <v>YJ56B1</v>
          </cell>
          <cell r="F394" t="str">
            <v>Электродвигатель подъёма</v>
          </cell>
          <cell r="G394">
            <v>115765</v>
          </cell>
          <cell r="J394" t="str">
            <v>提升电机带冷却风机</v>
          </cell>
        </row>
        <row r="395">
          <cell r="E395" t="str">
            <v>YJ13L4</v>
          </cell>
          <cell r="F395" t="str">
            <v xml:space="preserve">Электродвигатель напора 400 кВт  </v>
          </cell>
          <cell r="G395">
            <v>68219</v>
          </cell>
          <cell r="J395" t="str">
            <v>推压电机带冷却风机</v>
          </cell>
        </row>
        <row r="396">
          <cell r="E396" t="str">
            <v>YJ80A1</v>
          </cell>
          <cell r="F396" t="str">
            <v>Электродвигатель поворота</v>
          </cell>
          <cell r="G396">
            <v>53059</v>
          </cell>
          <cell r="J396" t="str">
            <v>回转电机带冷却风机</v>
          </cell>
        </row>
        <row r="397">
          <cell r="E397" t="str">
            <v>YJ13L3X1</v>
          </cell>
          <cell r="F397" t="str">
            <v>Электродвигатель хода</v>
          </cell>
          <cell r="G397">
            <v>90654.96</v>
          </cell>
          <cell r="J397" t="str">
            <v>行走电机带冷却风机</v>
          </cell>
        </row>
        <row r="398">
          <cell r="E398" t="str">
            <v>DK1623.01.01</v>
          </cell>
          <cell r="F398" t="str">
            <v>Кольцевой токоприемник</v>
          </cell>
          <cell r="G398">
            <v>45479</v>
          </cell>
          <cell r="J398" t="str">
            <v>高低压集电环</v>
          </cell>
        </row>
        <row r="399">
          <cell r="E399" t="str">
            <v>GHSI</v>
          </cell>
          <cell r="F399" t="str">
            <v>Кодировщик скорости электрической машины преобразования частоты</v>
          </cell>
          <cell r="G399">
            <v>3191</v>
          </cell>
          <cell r="J399" t="str">
            <v>电机编码器</v>
          </cell>
        </row>
        <row r="400">
          <cell r="E400" t="str">
            <v>K1812.01.07.00</v>
          </cell>
          <cell r="F400" t="str">
            <v>Ось подъёмной балки (коромысла)</v>
          </cell>
          <cell r="G400">
            <v>4150</v>
          </cell>
          <cell r="J400" t="str">
            <v>提梁销</v>
          </cell>
        </row>
        <row r="401">
          <cell r="E401" t="str">
            <v>K1801.01.02</v>
          </cell>
          <cell r="F401" t="str">
            <v>Ось днища ковша</v>
          </cell>
          <cell r="G401">
            <v>2821</v>
          </cell>
          <cell r="J401" t="str">
            <v>弯梁销</v>
          </cell>
        </row>
        <row r="402">
          <cell r="E402" t="str">
            <v>K1839.01.03</v>
          </cell>
          <cell r="F402" t="str">
            <v>Стопор</v>
          </cell>
          <cell r="G402">
            <v>54</v>
          </cell>
          <cell r="J402" t="str">
            <v>挡板</v>
          </cell>
        </row>
        <row r="403">
          <cell r="E403" t="str">
            <v>K1801.01.07</v>
          </cell>
          <cell r="F403" t="str">
            <v>Регулировочная прокладка</v>
          </cell>
          <cell r="G403">
            <v>45</v>
          </cell>
          <cell r="J403" t="str">
            <v>调整垫</v>
          </cell>
        </row>
        <row r="404">
          <cell r="E404" t="str">
            <v>K1824.01.10.00</v>
          </cell>
          <cell r="F404" t="str">
            <v>Цепь открывания ковша</v>
          </cell>
          <cell r="G404">
            <v>2079</v>
          </cell>
          <cell r="J404" t="str">
            <v>链条组件</v>
          </cell>
        </row>
        <row r="405">
          <cell r="E405" t="str">
            <v>K1801.01.08</v>
          </cell>
          <cell r="F405" t="str">
            <v>Направляющая засова</v>
          </cell>
          <cell r="G405">
            <v>1458</v>
          </cell>
          <cell r="J405" t="str">
            <v>导向座</v>
          </cell>
        </row>
        <row r="406">
          <cell r="E406" t="str">
            <v>K1801.01.12</v>
          </cell>
          <cell r="F406" t="str">
            <v>Болт M30x450</v>
          </cell>
          <cell r="G406">
            <v>157</v>
          </cell>
          <cell r="J406" t="str">
            <v>螺栓M30X450</v>
          </cell>
        </row>
        <row r="407">
          <cell r="E407" t="str">
            <v>K1801.01.13</v>
          </cell>
          <cell r="F407" t="str">
            <v>Болт M30x497</v>
          </cell>
          <cell r="G407">
            <v>175</v>
          </cell>
          <cell r="J407" t="str">
            <v>螺栓M30X497</v>
          </cell>
        </row>
        <row r="408">
          <cell r="E408" t="str">
            <v>K1802.01.01.01</v>
          </cell>
          <cell r="F408" t="str">
            <v>Втулка</v>
          </cell>
          <cell r="G408">
            <v>1213</v>
          </cell>
          <cell r="J408" t="str">
            <v>衬套</v>
          </cell>
        </row>
        <row r="409">
          <cell r="E409" t="str">
            <v>K1801.01.01.02</v>
          </cell>
          <cell r="F409" t="str">
            <v>Втулка</v>
          </cell>
          <cell r="G409">
            <v>674</v>
          </cell>
          <cell r="J409" t="str">
            <v>衬套</v>
          </cell>
        </row>
        <row r="410">
          <cell r="E410" t="str">
            <v>K1801.01.01.03</v>
          </cell>
          <cell r="F410" t="str">
            <v>Втулка</v>
          </cell>
          <cell r="G410">
            <v>674</v>
          </cell>
          <cell r="J410" t="str">
            <v>衬套</v>
          </cell>
        </row>
        <row r="411">
          <cell r="E411" t="str">
            <v>K1801.01.01.04</v>
          </cell>
          <cell r="F411" t="str">
            <v>Втулка</v>
          </cell>
          <cell r="G411">
            <v>816</v>
          </cell>
          <cell r="J411" t="str">
            <v>衬套</v>
          </cell>
        </row>
        <row r="412">
          <cell r="E412" t="str">
            <v>K1801.01.01.05</v>
          </cell>
          <cell r="F412" t="str">
            <v>Втулка</v>
          </cell>
          <cell r="G412">
            <v>441</v>
          </cell>
          <cell r="J412" t="str">
            <v>衬套</v>
          </cell>
        </row>
        <row r="413">
          <cell r="E413" t="str">
            <v>K1801.01.03.01</v>
          </cell>
          <cell r="F413" t="str">
            <v>Втулка</v>
          </cell>
          <cell r="G413">
            <v>864</v>
          </cell>
          <cell r="J413" t="str">
            <v>套</v>
          </cell>
        </row>
        <row r="414">
          <cell r="E414" t="str">
            <v>K1801.01.03.02</v>
          </cell>
          <cell r="F414" t="str">
            <v>Втулка</v>
          </cell>
          <cell r="G414">
            <v>96</v>
          </cell>
          <cell r="J414" t="str">
            <v>套</v>
          </cell>
        </row>
        <row r="415">
          <cell r="E415" t="str">
            <v>JB/ZQ4522 M76X2</v>
          </cell>
          <cell r="F415" t="str">
            <v>Вентиляционный кожух D-M76X2</v>
          </cell>
          <cell r="G415">
            <v>131</v>
          </cell>
          <cell r="J415" t="str">
            <v>通风罩 D-M76X2</v>
          </cell>
        </row>
        <row r="416">
          <cell r="E416" t="str">
            <v>K1805.03.01.02.00</v>
          </cell>
          <cell r="F416" t="str">
            <v>Указатель уровня масла</v>
          </cell>
          <cell r="G416">
            <v>40</v>
          </cell>
          <cell r="J416" t="str">
            <v>油尺</v>
          </cell>
        </row>
        <row r="417">
          <cell r="E417" t="str">
            <v>K1801.03.02.01.00</v>
          </cell>
          <cell r="F417" t="str">
            <v>Шкив ременной передачи</v>
          </cell>
          <cell r="G417">
            <v>7566</v>
          </cell>
          <cell r="J417" t="str">
            <v>皮带轮</v>
          </cell>
        </row>
        <row r="418">
          <cell r="E418" t="str">
            <v>K1801.03.08.04.00</v>
          </cell>
          <cell r="F418" t="str">
            <v xml:space="preserve">Роликовая опора </v>
          </cell>
          <cell r="G418">
            <v>1263</v>
          </cell>
          <cell r="J418" t="str">
            <v>托辊</v>
          </cell>
        </row>
        <row r="419">
          <cell r="E419" t="str">
            <v>K1801.03.09.01</v>
          </cell>
          <cell r="F419" t="str">
            <v>Буферный блок</v>
          </cell>
          <cell r="G419">
            <v>1989</v>
          </cell>
          <cell r="J419" t="str">
            <v>缓冲块</v>
          </cell>
        </row>
        <row r="420">
          <cell r="E420" t="str">
            <v>K1801.03.09.02.00</v>
          </cell>
          <cell r="F420" t="str">
            <v>Штифт D50</v>
          </cell>
          <cell r="G420">
            <v>128</v>
          </cell>
          <cell r="J420" t="str">
            <v>销 D50.8</v>
          </cell>
        </row>
        <row r="421">
          <cell r="E421" t="str">
            <v>K1701.03.11.00</v>
          </cell>
          <cell r="F421" t="str">
            <v>Первичный вал редуктора напора в сборе</v>
          </cell>
          <cell r="G421">
            <v>21110</v>
          </cell>
          <cell r="J421" t="str">
            <v>一级减速轴装置</v>
          </cell>
        </row>
        <row r="422">
          <cell r="E422" t="str">
            <v>K1801.03.12.00</v>
          </cell>
          <cell r="F422" t="str">
            <v>Тормоз механизма напора</v>
          </cell>
          <cell r="G422">
            <v>27879</v>
          </cell>
          <cell r="J422" t="str">
            <v>推压制动器</v>
          </cell>
        </row>
        <row r="423">
          <cell r="E423" t="str">
            <v>K1839.03.18.01</v>
          </cell>
          <cell r="F423" t="str">
            <v>Телескопическая труба</v>
          </cell>
          <cell r="G423">
            <v>97</v>
          </cell>
          <cell r="J423" t="str">
            <v>进风管</v>
          </cell>
        </row>
        <row r="424">
          <cell r="E424" t="str">
            <v>K1801.03.18.04</v>
          </cell>
          <cell r="F424" t="str">
            <v>Телескопическая труба</v>
          </cell>
          <cell r="G424">
            <v>102</v>
          </cell>
          <cell r="J424" t="str">
            <v>伸缩管</v>
          </cell>
        </row>
        <row r="425">
          <cell r="E425" t="str">
            <v>K1801.03.21.19</v>
          </cell>
          <cell r="F425" t="str">
            <v>Упорная шайба</v>
          </cell>
          <cell r="G425">
            <v>3002</v>
          </cell>
          <cell r="J425" t="str">
            <v>止推垫</v>
          </cell>
        </row>
        <row r="426">
          <cell r="E426" t="str">
            <v>K1801.03.21.01</v>
          </cell>
          <cell r="F426" t="str">
            <v>Втулка скольжения</v>
          </cell>
          <cell r="G426">
            <v>2537</v>
          </cell>
          <cell r="J426" t="str">
            <v>鞍座套</v>
          </cell>
        </row>
        <row r="427">
          <cell r="E427" t="str">
            <v>K1801.03.21.02</v>
          </cell>
          <cell r="F427" t="str">
            <v>Втулка скольжения</v>
          </cell>
          <cell r="G427">
            <v>2297</v>
          </cell>
          <cell r="J427" t="str">
            <v>鞍座套</v>
          </cell>
        </row>
        <row r="428">
          <cell r="E428" t="str">
            <v>K1812.03.21.23</v>
          </cell>
          <cell r="F428" t="str">
            <v>Втулка вала механизм напора</v>
          </cell>
          <cell r="G428">
            <v>7834</v>
          </cell>
          <cell r="J428" t="str">
            <v>推压铜套</v>
          </cell>
        </row>
        <row r="429">
          <cell r="E429" t="str">
            <v>K1701.03.23.00</v>
          </cell>
          <cell r="F429" t="str">
            <v>Шкив ременной передачи</v>
          </cell>
          <cell r="G429">
            <v>7150</v>
          </cell>
          <cell r="J429" t="str">
            <v>皮带轮</v>
          </cell>
        </row>
        <row r="430">
          <cell r="E430" t="str">
            <v>K1801.04.01.00</v>
          </cell>
          <cell r="F430" t="str">
            <v>Комплект напрвляющих роликов тросика ОДК</v>
          </cell>
          <cell r="G430">
            <v>2140</v>
          </cell>
          <cell r="J430" t="str">
            <v>滑轮架组件</v>
          </cell>
        </row>
        <row r="431">
          <cell r="E431" t="str">
            <v>NA4924A</v>
          </cell>
          <cell r="F431" t="str">
            <v>Подшипник 165X120X4.5</v>
          </cell>
          <cell r="G431">
            <v>428</v>
          </cell>
          <cell r="J431" t="str">
            <v>轴承 165X120X4.5</v>
          </cell>
        </row>
        <row r="432">
          <cell r="E432" t="str">
            <v>K1801.05.02.00</v>
          </cell>
          <cell r="F432" t="str">
            <v>Первичный вал редуктора подъёма в сборе</v>
          </cell>
          <cell r="G432">
            <v>10285</v>
          </cell>
          <cell r="J432" t="str">
            <v>第一轴装配</v>
          </cell>
        </row>
        <row r="433">
          <cell r="E433" t="str">
            <v>K1801.05.03.00</v>
          </cell>
          <cell r="F433" t="str">
            <v>Вторичный вал редуктора подъёма в сборе</v>
          </cell>
          <cell r="G433">
            <v>126051</v>
          </cell>
          <cell r="J433" t="str">
            <v>提升中间齿轮轴装配</v>
          </cell>
        </row>
        <row r="434">
          <cell r="E434" t="str">
            <v>K1801.05.05.03</v>
          </cell>
          <cell r="F434" t="str">
            <v>Болт шестерни M36</v>
          </cell>
          <cell r="G434">
            <v>103</v>
          </cell>
          <cell r="J434" t="str">
            <v>卷筒齿轮螺栓</v>
          </cell>
        </row>
        <row r="435">
          <cell r="E435" t="str">
            <v>NL 39</v>
          </cell>
          <cell r="F435" t="str">
            <v>Стопорная прокладка 39 (пара)</v>
          </cell>
          <cell r="G435">
            <v>20</v>
          </cell>
          <cell r="J435" t="str">
            <v>防松垫片39（成对）</v>
          </cell>
        </row>
        <row r="436">
          <cell r="E436" t="str">
            <v>K1801.05.05.03.00</v>
          </cell>
          <cell r="F436" t="str">
            <v>Подшипник</v>
          </cell>
          <cell r="G436">
            <v>11104</v>
          </cell>
          <cell r="J436" t="str">
            <v>调心滚子轴承</v>
          </cell>
        </row>
        <row r="437">
          <cell r="E437" t="str">
            <v>MB132</v>
          </cell>
          <cell r="F437" t="str">
            <v>Тормоз механизма подъёма</v>
          </cell>
          <cell r="G437">
            <v>38006</v>
          </cell>
          <cell r="J437" t="str">
            <v>提升制动器</v>
          </cell>
        </row>
        <row r="438">
          <cell r="E438" t="str">
            <v>K1801.05.08.00</v>
          </cell>
          <cell r="F438" t="str">
            <v>Муфта соединительная</v>
          </cell>
          <cell r="G438">
            <v>2421</v>
          </cell>
          <cell r="J438" t="str">
            <v>联轴器装置</v>
          </cell>
        </row>
        <row r="439">
          <cell r="E439" t="str">
            <v>K1818.05.13.01.00</v>
          </cell>
          <cell r="F439" t="str">
            <v>Установка вспомогательных лебёдок</v>
          </cell>
          <cell r="G439">
            <v>16191</v>
          </cell>
          <cell r="J439" t="str">
            <v>电动绞车</v>
          </cell>
        </row>
        <row r="440">
          <cell r="E440" t="str">
            <v>JB/ZQ4522 G3A</v>
          </cell>
          <cell r="F440" t="str">
            <v>Вентиляционный кожух C-G3A</v>
          </cell>
          <cell r="G440">
            <v>254</v>
          </cell>
          <cell r="J440" t="str">
            <v>通风罩C-G3A</v>
          </cell>
        </row>
        <row r="441">
          <cell r="E441" t="str">
            <v>GB/T894.1 155</v>
          </cell>
          <cell r="F441" t="str">
            <v>Стопорное кольцо 155</v>
          </cell>
          <cell r="G441">
            <v>21</v>
          </cell>
          <cell r="J441" t="str">
            <v>挡圈155</v>
          </cell>
        </row>
        <row r="442">
          <cell r="E442" t="str">
            <v>K1801.07.01.00</v>
          </cell>
          <cell r="F442" t="str">
            <v>Поворотаный вал в сборе</v>
          </cell>
          <cell r="G442">
            <v>86461</v>
          </cell>
          <cell r="J442" t="str">
            <v>回转立轴</v>
          </cell>
        </row>
        <row r="443">
          <cell r="E443" t="str">
            <v>JB/ZQ4224 165X5.7</v>
          </cell>
          <cell r="F443" t="str">
            <v>Уплотнительное кольцо в форме О</v>
          </cell>
          <cell r="G443">
            <v>4</v>
          </cell>
          <cell r="J443" t="str">
            <v>O形密封圈165X5.7</v>
          </cell>
        </row>
        <row r="444">
          <cell r="E444" t="str">
            <v>JB/ZQ4224 185X5.7</v>
          </cell>
          <cell r="F444" t="str">
            <v>Уплотнительное кольцо в форме О</v>
          </cell>
          <cell r="G444">
            <v>4</v>
          </cell>
          <cell r="J444" t="str">
            <v>O形密封圈185X5.7</v>
          </cell>
        </row>
        <row r="445">
          <cell r="E445" t="str">
            <v>K1801.09.09.02.00</v>
          </cell>
          <cell r="F445" t="str">
            <v>Пневматический цилиндр</v>
          </cell>
          <cell r="G445">
            <v>1324</v>
          </cell>
          <cell r="J445" t="str">
            <v>气缸</v>
          </cell>
        </row>
        <row r="446">
          <cell r="E446" t="str">
            <v>K1801.11.41.03.00</v>
          </cell>
          <cell r="F446" t="str">
            <v>Роликовая опора</v>
          </cell>
          <cell r="G446">
            <v>1403</v>
          </cell>
          <cell r="J446" t="str">
            <v>托辊</v>
          </cell>
        </row>
        <row r="447">
          <cell r="E447" t="str">
            <v>MB266</v>
          </cell>
          <cell r="F447" t="str">
            <v>Тормоз механизма хода</v>
          </cell>
          <cell r="G447">
            <v>29268</v>
          </cell>
          <cell r="J447" t="str">
            <v>行走制动器</v>
          </cell>
        </row>
        <row r="448">
          <cell r="E448" t="str">
            <v>K1812.18.01.00</v>
          </cell>
          <cell r="F448" t="str">
            <v>Заднее опорное (напрвляющее) колесо в сборе</v>
          </cell>
          <cell r="G448">
            <v>53500</v>
          </cell>
          <cell r="J448" t="str">
            <v>后支轮组件</v>
          </cell>
        </row>
        <row r="449">
          <cell r="E449" t="str">
            <v>K1801.18.01.02</v>
          </cell>
          <cell r="F449" t="str">
            <v>Втулка</v>
          </cell>
          <cell r="G449">
            <v>1807</v>
          </cell>
          <cell r="J449" t="str">
            <v>衬套</v>
          </cell>
        </row>
        <row r="450">
          <cell r="E450" t="str">
            <v>K1801.18.01.03</v>
          </cell>
          <cell r="F450" t="str">
            <v>Упорное кольцо</v>
          </cell>
          <cell r="G450">
            <v>165</v>
          </cell>
          <cell r="J450" t="str">
            <v>止推垫圈</v>
          </cell>
        </row>
        <row r="451">
          <cell r="E451" t="str">
            <v>K1812.18.02.00</v>
          </cell>
          <cell r="F451" t="str">
            <v>Ведущее колесо в сборе</v>
          </cell>
          <cell r="G451">
            <v>147189</v>
          </cell>
          <cell r="J451" t="str">
            <v>驱动轮组件</v>
          </cell>
        </row>
        <row r="452">
          <cell r="E452" t="str">
            <v>K1801.18.03.02</v>
          </cell>
          <cell r="F452" t="str">
            <v>Втулка</v>
          </cell>
          <cell r="G452">
            <v>765</v>
          </cell>
          <cell r="J452" t="str">
            <v>衬套</v>
          </cell>
        </row>
        <row r="453">
          <cell r="E453" t="str">
            <v>K1801.18.03.04</v>
          </cell>
          <cell r="F453" t="str">
            <v>Упорное кольцо</v>
          </cell>
          <cell r="G453">
            <v>281</v>
          </cell>
          <cell r="J453" t="str">
            <v>止推垫圈</v>
          </cell>
        </row>
        <row r="454">
          <cell r="E454" t="str">
            <v>K1801.18.03.07</v>
          </cell>
          <cell r="F454" t="str">
            <v>Манжета уплотнительная</v>
          </cell>
          <cell r="G454">
            <v>354</v>
          </cell>
          <cell r="J454" t="str">
            <v>水封</v>
          </cell>
        </row>
        <row r="455">
          <cell r="E455" t="str">
            <v>K1801.18.05.00</v>
          </cell>
          <cell r="F455" t="str">
            <v>Натяжное колесо в сборе</v>
          </cell>
          <cell r="G455">
            <v>107208</v>
          </cell>
          <cell r="J455" t="str">
            <v>拉紧轮组件</v>
          </cell>
        </row>
        <row r="456">
          <cell r="E456" t="str">
            <v>K1801.18.05.02</v>
          </cell>
          <cell r="F456" t="str">
            <v>Втулка</v>
          </cell>
          <cell r="G456">
            <v>2381</v>
          </cell>
          <cell r="J456" t="str">
            <v>衬套</v>
          </cell>
        </row>
        <row r="457">
          <cell r="E457" t="str">
            <v>K1801.18.05.03</v>
          </cell>
          <cell r="F457" t="str">
            <v>Упорное кольцо</v>
          </cell>
          <cell r="G457">
            <v>702</v>
          </cell>
          <cell r="J457" t="str">
            <v>止推垫圈</v>
          </cell>
        </row>
        <row r="458">
          <cell r="E458" t="str">
            <v>K1801.01.18</v>
          </cell>
          <cell r="F458" t="str">
            <v>Ось днища ковша</v>
          </cell>
          <cell r="G458">
            <v>2726</v>
          </cell>
          <cell r="J458" t="str">
            <v>弯梁销</v>
          </cell>
        </row>
        <row r="459">
          <cell r="E459" t="str">
            <v>K1801.03.21.03</v>
          </cell>
          <cell r="F459" t="str">
            <v>Верхний ползун</v>
          </cell>
          <cell r="G459">
            <v>1132</v>
          </cell>
          <cell r="J459" t="str">
            <v>上滑板</v>
          </cell>
        </row>
        <row r="460">
          <cell r="E460" t="str">
            <v>K1801.03.21.04</v>
          </cell>
          <cell r="F460" t="str">
            <v>Боковой ползун</v>
          </cell>
          <cell r="G460">
            <v>1976</v>
          </cell>
          <cell r="J460" t="str">
            <v>侧滑板</v>
          </cell>
        </row>
        <row r="461">
          <cell r="E461" t="str">
            <v>K1801.03.21.16</v>
          </cell>
          <cell r="F461" t="str">
            <v>Кольцо упорное</v>
          </cell>
          <cell r="G461">
            <v>2570</v>
          </cell>
          <cell r="J461" t="str">
            <v>止退垫圈</v>
          </cell>
        </row>
        <row r="462">
          <cell r="E462" t="str">
            <v>K1812.03.21.02.00</v>
          </cell>
          <cell r="F462" t="str">
            <v>Масляное уплотнение</v>
          </cell>
          <cell r="G462">
            <v>1046</v>
          </cell>
          <cell r="J462" t="str">
            <v>骨架油封</v>
          </cell>
        </row>
        <row r="463">
          <cell r="E463" t="str">
            <v>K1801.03.21.24</v>
          </cell>
          <cell r="F463" t="str">
            <v>Кольцо уплотнительное</v>
          </cell>
          <cell r="G463">
            <v>10</v>
          </cell>
          <cell r="J463" t="str">
            <v>O型密封圈</v>
          </cell>
        </row>
        <row r="464">
          <cell r="E464" t="str">
            <v>K1812.03.21.25</v>
          </cell>
          <cell r="F464" t="str">
            <v>Стакан вала напра</v>
          </cell>
          <cell r="G464">
            <v>8124</v>
          </cell>
          <cell r="J464" t="str">
            <v>轴 套</v>
          </cell>
        </row>
        <row r="465">
          <cell r="E465" t="str">
            <v>JB/T6994</v>
          </cell>
          <cell r="F465" t="str">
            <v>Кольцо уплотнительное</v>
          </cell>
          <cell r="G465">
            <v>127</v>
          </cell>
          <cell r="J465" t="str">
            <v>JB/T6994</v>
          </cell>
        </row>
        <row r="466">
          <cell r="E466" t="str">
            <v>K1801.03.21.31</v>
          </cell>
          <cell r="F466" t="str">
            <v>Палец</v>
          </cell>
          <cell r="G466">
            <v>2</v>
          </cell>
          <cell r="J466" t="str">
            <v>销20X69</v>
          </cell>
        </row>
        <row r="467">
          <cell r="E467" t="str">
            <v>DF-3500</v>
          </cell>
          <cell r="F467" t="str">
            <v>Центробежный вентилятор 0.25 KW</v>
          </cell>
          <cell r="G467">
            <v>1396</v>
          </cell>
          <cell r="J467" t="str">
            <v xml:space="preserve"> 离心风机</v>
          </cell>
        </row>
        <row r="468">
          <cell r="E468" t="str">
            <v>CB150-YIL</v>
          </cell>
          <cell r="F468" t="str">
            <v>Компрессор</v>
          </cell>
          <cell r="G468">
            <v>4149</v>
          </cell>
          <cell r="J468" t="str">
            <v xml:space="preserve"> 压缩机</v>
          </cell>
        </row>
        <row r="469">
          <cell r="E469" t="str">
            <v>EK164S</v>
          </cell>
          <cell r="F469" t="str">
            <v>Фильтр осушителя</v>
          </cell>
          <cell r="G469">
            <v>110</v>
          </cell>
          <cell r="J469" t="str">
            <v xml:space="preserve"> 干燥过滤器</v>
          </cell>
        </row>
        <row r="470">
          <cell r="E470" t="str">
            <v>TS1-A2A</v>
          </cell>
          <cell r="F470" t="str">
            <v>Контроллер температур</v>
          </cell>
          <cell r="G470">
            <v>307</v>
          </cell>
          <cell r="J470" t="str">
            <v>温度控制器</v>
          </cell>
        </row>
        <row r="471">
          <cell r="E471" t="str">
            <v>TC120</v>
          </cell>
          <cell r="F471" t="str">
            <v>Электронная нагревательная плата</v>
          </cell>
          <cell r="G471">
            <v>70</v>
          </cell>
          <cell r="J471" t="str">
            <v xml:space="preserve"> 电加热板</v>
          </cell>
        </row>
        <row r="472">
          <cell r="E472" t="str">
            <v>M9116-GGA-2</v>
          </cell>
          <cell r="F472" t="str">
            <v>Регулятор потока</v>
          </cell>
          <cell r="G472">
            <v>873</v>
          </cell>
          <cell r="J472" t="str">
            <v xml:space="preserve"> 阀风执行器</v>
          </cell>
        </row>
        <row r="473">
          <cell r="E473" t="str">
            <v>JBK-50</v>
          </cell>
          <cell r="F473" t="str">
            <v>Трансформатор</v>
          </cell>
          <cell r="G473">
            <v>98</v>
          </cell>
          <cell r="J473" t="str">
            <v xml:space="preserve"> 变压器</v>
          </cell>
        </row>
        <row r="474">
          <cell r="E474" t="str">
            <v>LW39-16B-4OB</v>
          </cell>
          <cell r="F474" t="str">
            <v>Переключатель</v>
          </cell>
          <cell r="G474">
            <v>46</v>
          </cell>
          <cell r="J474" t="str">
            <v xml:space="preserve"> 转换开关(非标)</v>
          </cell>
        </row>
        <row r="475">
          <cell r="E475" t="str">
            <v>LW39-16B-4GC</v>
          </cell>
          <cell r="F475" t="str">
            <v>Переключатель</v>
          </cell>
          <cell r="G475">
            <v>51</v>
          </cell>
          <cell r="J475" t="str">
            <v xml:space="preserve"> 转换开关（非标）</v>
          </cell>
        </row>
        <row r="476">
          <cell r="E476" t="str">
            <v>SL</v>
          </cell>
          <cell r="F476" t="str">
            <v>Ручное колесо</v>
          </cell>
          <cell r="G476">
            <v>98</v>
          </cell>
          <cell r="J476" t="str">
            <v>手轮</v>
          </cell>
        </row>
        <row r="477">
          <cell r="E477" t="str">
            <v>LPDA25C-AC220V</v>
          </cell>
          <cell r="F477" t="str">
            <v>Электро-магнитный клапан</v>
          </cell>
          <cell r="G477">
            <v>312</v>
          </cell>
          <cell r="J477" t="str">
            <v>脉冲电磁阀</v>
          </cell>
        </row>
        <row r="478">
          <cell r="E478" t="str">
            <v>K1838.22.02</v>
          </cell>
          <cell r="F478" t="str">
            <v>Вентилятор</v>
          </cell>
          <cell r="G478">
            <v>19085</v>
          </cell>
          <cell r="J478" t="str">
            <v>系统风机</v>
          </cell>
        </row>
        <row r="479">
          <cell r="E479" t="str">
            <v>K1831.22.02.04.01</v>
          </cell>
          <cell r="F479" t="str">
            <v>Клапан выброса пыли транспортера</v>
          </cell>
          <cell r="G479">
            <v>7906</v>
          </cell>
          <cell r="J479" t="str">
            <v>输送机卸灰阀</v>
          </cell>
        </row>
        <row r="480">
          <cell r="E480" t="str">
            <v>K1831.22.02.04.06</v>
          </cell>
          <cell r="F480" t="str">
            <v>Электродвигатель</v>
          </cell>
          <cell r="G480">
            <v>12067</v>
          </cell>
          <cell r="J480" t="str">
            <v>减速机电机</v>
          </cell>
        </row>
        <row r="481">
          <cell r="E481" t="str">
            <v>K1838.22.02.04.03</v>
          </cell>
          <cell r="F481" t="str">
            <v>Подвесной подшипник</v>
          </cell>
          <cell r="G481">
            <v>4458</v>
          </cell>
          <cell r="J481" t="str">
            <v>吊轴承</v>
          </cell>
        </row>
        <row r="482">
          <cell r="E482" t="str">
            <v>GL10</v>
          </cell>
          <cell r="F482" t="str">
            <v>GL10 Муфта</v>
          </cell>
          <cell r="G482">
            <v>594</v>
          </cell>
          <cell r="J482" t="str">
            <v>GL10联轴器</v>
          </cell>
        </row>
        <row r="483">
          <cell r="E483" t="str">
            <v>HHTGYDQG-DLJT43-5019</v>
          </cell>
          <cell r="F483" t="str">
            <v>Звездочка</v>
          </cell>
          <cell r="G483">
            <v>76</v>
          </cell>
          <cell r="J483" t="str">
            <v>拉杆链轮</v>
          </cell>
        </row>
        <row r="484">
          <cell r="E484" t="str">
            <v>HHTGYDQG-DLJT43-5024</v>
          </cell>
          <cell r="F484" t="str">
            <v>Натяжное колесо</v>
          </cell>
          <cell r="G484">
            <v>57</v>
          </cell>
          <cell r="J484" t="str">
            <v>链条涨紧轮</v>
          </cell>
        </row>
        <row r="485">
          <cell r="E485" t="str">
            <v>HHTGYDQG-DLJT68-4015</v>
          </cell>
          <cell r="F485" t="str">
            <v>Подшипник направляющего ролика укладчика</v>
          </cell>
          <cell r="G485">
            <v>14</v>
          </cell>
          <cell r="J485" t="str">
            <v>排线器导缆尼龙辊轴承</v>
          </cell>
        </row>
        <row r="486">
          <cell r="E486" t="str">
            <v>HHTGYDQG-DLJT68-4016</v>
          </cell>
          <cell r="F486" t="str">
            <v>Подшипник кабельукладчика</v>
          </cell>
          <cell r="G486">
            <v>23</v>
          </cell>
          <cell r="J486" t="str">
            <v>排线器滚轮轴承</v>
          </cell>
        </row>
        <row r="487">
          <cell r="E487" t="str">
            <v>HHTGYDQG-DLJT68-4017</v>
          </cell>
          <cell r="F487" t="str">
            <v>Подшипник вилки укладчика</v>
          </cell>
          <cell r="G487">
            <v>17</v>
          </cell>
          <cell r="J487" t="str">
            <v>排线器拨叉轴承</v>
          </cell>
        </row>
        <row r="488">
          <cell r="E488" t="str">
            <v>HHTGYDQG-DLJT68-1010B05</v>
          </cell>
          <cell r="F488" t="str">
            <v xml:space="preserve">Подшипник </v>
          </cell>
          <cell r="G488">
            <v>225</v>
          </cell>
          <cell r="J488" t="str">
            <v>卷筒支撑座轴承B</v>
          </cell>
        </row>
        <row r="489">
          <cell r="E489" t="str">
            <v>HHTGYDQG-DLJT68-2023</v>
          </cell>
          <cell r="F489" t="str">
            <v>Подшипник токоприемника</v>
          </cell>
          <cell r="G489">
            <v>75</v>
          </cell>
          <cell r="J489" t="str">
            <v>集电器深沟球轴承</v>
          </cell>
        </row>
        <row r="490">
          <cell r="E490" t="str">
            <v>HHTGYDQG-DLJT68-2024</v>
          </cell>
          <cell r="F490" t="str">
            <v>Подшипник токоприемника</v>
          </cell>
          <cell r="G490">
            <v>46</v>
          </cell>
          <cell r="J490" t="str">
            <v>集电器带座轴承</v>
          </cell>
        </row>
        <row r="491">
          <cell r="E491" t="str">
            <v>HHTGYDQG-DLJT68-2003B</v>
          </cell>
          <cell r="F491" t="str">
            <v>Кольцо</v>
          </cell>
          <cell r="G491">
            <v>15857</v>
          </cell>
          <cell r="J491" t="str">
            <v>环圈总成</v>
          </cell>
        </row>
        <row r="492">
          <cell r="E492" t="str">
            <v>R431003042</v>
          </cell>
          <cell r="F492" t="str">
            <v>Быстрый воздушно-разгрузочный клапан</v>
          </cell>
          <cell r="G492">
            <v>1329</v>
          </cell>
          <cell r="J492" t="str">
            <v>快速排气阀</v>
          </cell>
        </row>
        <row r="493">
          <cell r="E493" t="str">
            <v>S20</v>
          </cell>
          <cell r="F493" t="str">
            <v>Датчик вакуума</v>
          </cell>
          <cell r="G493">
            <v>1112</v>
          </cell>
          <cell r="J493" t="str">
            <v>真空度传感器</v>
          </cell>
        </row>
        <row r="494">
          <cell r="E494" t="str">
            <v>H01060016/10-10FJX/2500</v>
          </cell>
          <cell r="F494" t="str">
            <v>Воздуховод</v>
          </cell>
          <cell r="G494">
            <v>158</v>
          </cell>
          <cell r="J494" t="str">
            <v>润滑胶管总成</v>
          </cell>
        </row>
        <row r="495">
          <cell r="E495" t="str">
            <v>H01058016/10-10FJX/2500</v>
          </cell>
          <cell r="F495" t="str">
            <v>Воздуховод</v>
          </cell>
          <cell r="G495">
            <v>158</v>
          </cell>
          <cell r="J495" t="str">
            <v>气路胶管总成</v>
          </cell>
        </row>
        <row r="496">
          <cell r="E496" t="str">
            <v>K1838.91.01.00</v>
          </cell>
          <cell r="F496" t="str">
            <v>Насос смазочный</v>
          </cell>
          <cell r="G496">
            <v>24966</v>
          </cell>
          <cell r="J496" t="str">
            <v>提升减速机油泵装置</v>
          </cell>
        </row>
        <row r="497">
          <cell r="E497" t="str">
            <v>K1838.93.01.00</v>
          </cell>
          <cell r="F497" t="str">
            <v>Насос смазочный</v>
          </cell>
          <cell r="G497">
            <v>16644</v>
          </cell>
          <cell r="J497" t="str">
            <v>回转油泵电机组</v>
          </cell>
        </row>
        <row r="498">
          <cell r="E498" t="str">
            <v>K1838.92.02.01.00</v>
          </cell>
          <cell r="F498" t="str">
            <v>Установка компрессора</v>
          </cell>
          <cell r="G498">
            <v>49516</v>
          </cell>
          <cell r="J498" t="str">
            <v>空压机装置订货图</v>
          </cell>
        </row>
        <row r="499">
          <cell r="E499" t="str">
            <v>K1838.92.04.00</v>
          </cell>
          <cell r="F499" t="str">
            <v>Адаптер</v>
          </cell>
          <cell r="G499">
            <v>3329</v>
          </cell>
          <cell r="J499" t="str">
            <v>旋转油气接头</v>
          </cell>
        </row>
        <row r="500">
          <cell r="E500" t="str">
            <v>8MJ-10FJX</v>
          </cell>
          <cell r="F500" t="str">
            <v>Переходное соединение</v>
          </cell>
          <cell r="G500">
            <v>11</v>
          </cell>
          <cell r="J500" t="str">
            <v>直通接头</v>
          </cell>
        </row>
        <row r="501">
          <cell r="E501" t="str">
            <v>10MJ-10MJ-10FJX</v>
          </cell>
          <cell r="F501" t="str">
            <v>Тройник</v>
          </cell>
          <cell r="G501">
            <v>17</v>
          </cell>
          <cell r="J501" t="str">
            <v>三通接头</v>
          </cell>
        </row>
        <row r="502">
          <cell r="E502" t="str">
            <v>6SL3352-3AG41-0AA0</v>
          </cell>
          <cell r="F502" t="str">
            <v>Моторный модуль IPD(1200KW)</v>
          </cell>
          <cell r="G502">
            <v>192</v>
          </cell>
          <cell r="J502" t="str">
            <v>IPD(1200KW)</v>
          </cell>
        </row>
        <row r="503">
          <cell r="E503" t="str">
            <v>6SL3352-1AG41-3FA1</v>
          </cell>
          <cell r="F503" t="str">
            <v>Силовой блок 1200KW Power Block</v>
          </cell>
          <cell r="G503">
            <v>72903</v>
          </cell>
          <cell r="J503" t="str">
            <v>WK-35 整流模块</v>
          </cell>
        </row>
        <row r="504">
          <cell r="E504" t="str">
            <v>6SL3000-0KH14-0AA0</v>
          </cell>
          <cell r="F504" t="str">
            <v>Сопротивление R11、R13、R15</v>
          </cell>
          <cell r="G504">
            <v>411</v>
          </cell>
          <cell r="J504" t="str">
            <v>R11、R13、R15</v>
          </cell>
        </row>
        <row r="505">
          <cell r="E505" t="str">
            <v>3KL5230-1AB01</v>
          </cell>
          <cell r="F505" t="str">
            <v>Предохранитель пакетника +H.A25-A1-Q10</v>
          </cell>
          <cell r="G505">
            <v>490</v>
          </cell>
          <cell r="J505" t="str">
            <v>Q10</v>
          </cell>
        </row>
        <row r="506">
          <cell r="E506" t="str">
            <v>6SY7000-0AC34</v>
          </cell>
          <cell r="F506" t="str">
            <v xml:space="preserve">Предохранитель вентилятора (для инвертора 500кW) </v>
          </cell>
          <cell r="G506">
            <v>58</v>
          </cell>
          <cell r="J506" t="str">
            <v>F21</v>
          </cell>
        </row>
        <row r="507">
          <cell r="E507" t="str">
            <v>6SL3000-0CH41-6AA0</v>
          </cell>
          <cell r="F507" t="str">
            <v>Тормозной резистор R1</v>
          </cell>
          <cell r="G507">
            <v>13974</v>
          </cell>
          <cell r="J507" t="str">
            <v>R1</v>
          </cell>
        </row>
        <row r="508">
          <cell r="E508" t="str">
            <v>6SL3760-0BG00-0AA0</v>
          </cell>
          <cell r="F508" t="str">
            <v>Предохранитель +H.A25-F24</v>
          </cell>
          <cell r="G508">
            <v>22</v>
          </cell>
          <cell r="J508" t="str">
            <v>F24</v>
          </cell>
        </row>
        <row r="509">
          <cell r="E509" t="str">
            <v>3RS1800-1BP00</v>
          </cell>
          <cell r="F509" t="str">
            <v>Реле +H.A25-A1-K112</v>
          </cell>
          <cell r="G509">
            <v>105</v>
          </cell>
          <cell r="J509" t="str">
            <v>K112</v>
          </cell>
        </row>
        <row r="510">
          <cell r="E510" t="str">
            <v>6SL3360-8AA00-0AA1</v>
          </cell>
          <cell r="F510" t="str">
            <v>Электроемкость C10-C15</v>
          </cell>
          <cell r="G510">
            <v>696</v>
          </cell>
          <cell r="J510" t="str">
            <v>C10-C15</v>
          </cell>
        </row>
        <row r="511">
          <cell r="E511" t="str">
            <v>6SL3360-8AA00-0AA5</v>
          </cell>
          <cell r="F511" t="str">
            <v>Электросопротивление -A2-R10,-R11,-R12</v>
          </cell>
          <cell r="G511">
            <v>918</v>
          </cell>
          <cell r="J511" t="str">
            <v>缓冲电阻R10、R11、R12</v>
          </cell>
        </row>
        <row r="512">
          <cell r="E512" t="str">
            <v>3RT1044-1AL20</v>
          </cell>
          <cell r="F512" t="str">
            <v>Включатель-A2-K4</v>
          </cell>
          <cell r="G512">
            <v>214</v>
          </cell>
          <cell r="J512" t="str">
            <v>K4</v>
          </cell>
        </row>
        <row r="513">
          <cell r="E513" t="str">
            <v>3RT1926-1BD00</v>
          </cell>
          <cell r="F513" t="str">
            <v>Варистор -A2-K4-Z4</v>
          </cell>
          <cell r="G513">
            <v>19</v>
          </cell>
          <cell r="J513" t="str">
            <v>Z4</v>
          </cell>
        </row>
        <row r="514">
          <cell r="E514" t="str">
            <v>3RT1016-1AP02</v>
          </cell>
          <cell r="F514" t="str">
            <v>Включатель -A2-K101</v>
          </cell>
          <cell r="G514">
            <v>43</v>
          </cell>
          <cell r="J514" t="str">
            <v>K101</v>
          </cell>
        </row>
        <row r="515">
          <cell r="E515" t="str">
            <v>3RT1916-1BD00</v>
          </cell>
          <cell r="F515" t="str">
            <v>Варистор -A2-K101-Z101</v>
          </cell>
          <cell r="G515">
            <v>13</v>
          </cell>
          <cell r="J515" t="str">
            <v>Z101</v>
          </cell>
        </row>
        <row r="516">
          <cell r="E516" t="str">
            <v>35GJDHP1-500-000</v>
          </cell>
          <cell r="F516" t="str">
            <v>Щёткодержатель токоприёмника (изолирующего кольца)</v>
          </cell>
          <cell r="G516">
            <v>711</v>
          </cell>
          <cell r="J516" t="str">
            <v>屏蔽环刷架组件компонентщёткодержателяизолирующего кольца</v>
          </cell>
        </row>
        <row r="517">
          <cell r="E517" t="str">
            <v>35GJDHP-040-000</v>
          </cell>
          <cell r="F517" t="str">
            <v>Щёткодержатель (10х25) токоприёмника 380V</v>
          </cell>
          <cell r="G517">
            <v>79</v>
          </cell>
          <cell r="J517" t="str">
            <v>刷握-10X25 щёткодержатель（380V）</v>
          </cell>
        </row>
        <row r="518">
          <cell r="E518" t="str">
            <v>35GJDHP1-020-000</v>
          </cell>
          <cell r="F518" t="str">
            <v>Щёткодержатель（690V&amp;10000V）</v>
          </cell>
          <cell r="G518">
            <v>47</v>
          </cell>
          <cell r="J518" t="str">
            <v>刷架一щёткодержатель（690V&amp;10000V）</v>
          </cell>
        </row>
        <row r="519">
          <cell r="E519" t="str">
            <v>YJ102B1</v>
          </cell>
          <cell r="F519" t="str">
            <v>Электродвигатель механизм хода</v>
          </cell>
          <cell r="G519">
            <v>130101</v>
          </cell>
          <cell r="J519" t="str">
            <v>行走电机带冷却风机</v>
          </cell>
        </row>
        <row r="520">
          <cell r="E520" t="str">
            <v>DK1839.01.01</v>
          </cell>
          <cell r="F520" t="str">
            <v>Кольцевой токоприемник</v>
          </cell>
          <cell r="G520">
            <v>49493</v>
          </cell>
          <cell r="J520" t="str">
            <v>高低压集电环</v>
          </cell>
        </row>
        <row r="521">
          <cell r="E521" t="str">
            <v>GHS2</v>
          </cell>
          <cell r="F521" t="str">
            <v>Кодировщик скорости электрической машины преобразования частоты</v>
          </cell>
          <cell r="G521">
            <v>3503</v>
          </cell>
          <cell r="J521" t="str">
            <v>电机编码器(四路信号输出)</v>
          </cell>
        </row>
        <row r="522">
          <cell r="E522" t="str">
            <v>YF17</v>
          </cell>
          <cell r="F522" t="str">
            <v>Вентилятор электродвигателя напора</v>
          </cell>
          <cell r="G522">
            <v>4100</v>
          </cell>
          <cell r="J522" t="str">
            <v>推压电机风机</v>
          </cell>
        </row>
        <row r="523">
          <cell r="E523" t="str">
            <v>YF17B</v>
          </cell>
          <cell r="F523" t="str">
            <v>Вентилятор электродвигателя подъёма</v>
          </cell>
          <cell r="G523">
            <v>4100</v>
          </cell>
          <cell r="J523" t="str">
            <v>提升电机风机</v>
          </cell>
        </row>
        <row r="524">
          <cell r="E524" t="str">
            <v>YF17C</v>
          </cell>
          <cell r="F524" t="str">
            <v>Вентилятор электродвигателя поворота</v>
          </cell>
          <cell r="G524">
            <v>3514</v>
          </cell>
          <cell r="J524" t="str">
            <v>回转电机风机</v>
          </cell>
        </row>
        <row r="525">
          <cell r="E525" t="str">
            <v>YF17A</v>
          </cell>
          <cell r="F525" t="str">
            <v>Вентилятор электродвигателя хода</v>
          </cell>
          <cell r="G525">
            <v>3465</v>
          </cell>
          <cell r="J525" t="str">
            <v>行走电机风机</v>
          </cell>
        </row>
        <row r="526">
          <cell r="E526">
            <v>54749247</v>
          </cell>
          <cell r="F526" t="str">
            <v>Элемент сепаратора</v>
          </cell>
          <cell r="G526">
            <v>382.56</v>
          </cell>
          <cell r="J526" t="str">
            <v>分离器芯</v>
          </cell>
        </row>
        <row r="527">
          <cell r="E527" t="str">
            <v>89295976</v>
          </cell>
          <cell r="F527" t="str">
            <v>Фильтр воздуха</v>
          </cell>
          <cell r="G527">
            <v>47.6</v>
          </cell>
          <cell r="J527" t="str">
            <v>空滤滤芯</v>
          </cell>
        </row>
        <row r="528">
          <cell r="E528" t="str">
            <v>2901200304</v>
          </cell>
          <cell r="F528" t="str">
            <v>DDp  Фильтр сушилки</v>
          </cell>
          <cell r="G528">
            <v>359</v>
          </cell>
          <cell r="J528" t="str">
            <v>干燥机DDp过滤器滤芯</v>
          </cell>
        </row>
        <row r="529">
          <cell r="E529" t="str">
            <v>2901200404</v>
          </cell>
          <cell r="F529" t="str">
            <v>PD  Фильтр сушилки</v>
          </cell>
          <cell r="G529">
            <v>359</v>
          </cell>
          <cell r="J529" t="str">
            <v>干燥机PD过滤器滤芯</v>
          </cell>
        </row>
        <row r="530">
          <cell r="E530" t="str">
            <v>3NE1436-2</v>
          </cell>
          <cell r="F530" t="str">
            <v>Быстроплавкий предохранитель</v>
          </cell>
          <cell r="G530">
            <v>270</v>
          </cell>
          <cell r="J530" t="str">
            <v>FUSE</v>
          </cell>
        </row>
        <row r="531">
          <cell r="E531" t="str">
            <v>3NE3232-0B</v>
          </cell>
          <cell r="F531" t="str">
            <v>Быстроплавкий предохранитель</v>
          </cell>
          <cell r="G531">
            <v>198</v>
          </cell>
          <cell r="J531" t="str">
            <v>FUSE</v>
          </cell>
        </row>
        <row r="532">
          <cell r="E532" t="str">
            <v>3NE3335</v>
          </cell>
          <cell r="F532" t="str">
            <v>Быстроплавкий предохранитель</v>
          </cell>
          <cell r="G532">
            <v>203</v>
          </cell>
          <cell r="J532" t="str">
            <v>FUSE</v>
          </cell>
        </row>
        <row r="533">
          <cell r="E533" t="str">
            <v>3NE3337-8</v>
          </cell>
          <cell r="F533" t="str">
            <v>Быстроплавкий предохранитель</v>
          </cell>
          <cell r="G533">
            <v>230</v>
          </cell>
          <cell r="J533" t="str">
            <v>FUSE</v>
          </cell>
        </row>
        <row r="534">
          <cell r="E534" t="str">
            <v>3NE3340-8</v>
          </cell>
          <cell r="F534" t="str">
            <v>Быстроплавкий предохранитель</v>
          </cell>
          <cell r="G534">
            <v>337</v>
          </cell>
          <cell r="J534" t="str">
            <v>FUSE</v>
          </cell>
        </row>
        <row r="535">
          <cell r="E535" t="str">
            <v>55GJDH-000-007</v>
          </cell>
          <cell r="F535" t="str">
            <v>щетка 380VDC</v>
          </cell>
          <cell r="G535">
            <v>9</v>
          </cell>
          <cell r="J535" t="str">
            <v>380VDC碳刷</v>
          </cell>
        </row>
        <row r="536">
          <cell r="E536" t="str">
            <v>55GJDHP1-020-001</v>
          </cell>
          <cell r="F536" t="str">
            <v>щетка 690VAC/щетка 10000VAC</v>
          </cell>
          <cell r="G536">
            <v>124</v>
          </cell>
          <cell r="J536" t="str">
            <v>690VAC&amp;10000V碳刷</v>
          </cell>
        </row>
        <row r="537">
          <cell r="E537" t="str">
            <v>610×670</v>
          </cell>
          <cell r="F537" t="str">
            <v>Фильтрующая сетка воздуха кондиционера</v>
          </cell>
          <cell r="G537">
            <v>92</v>
          </cell>
          <cell r="J537" t="str">
            <v>空调空气过滤网</v>
          </cell>
        </row>
        <row r="538">
          <cell r="E538" t="str">
            <v>680×495</v>
          </cell>
          <cell r="F538" t="str">
            <v>Фильтрующая сетка воздуха кондиционера</v>
          </cell>
          <cell r="G538">
            <v>106</v>
          </cell>
          <cell r="J538" t="str">
            <v>空调空气过滤网</v>
          </cell>
        </row>
        <row r="539">
          <cell r="E539" t="str">
            <v>6SL3362-0AG00-0AA1</v>
          </cell>
          <cell r="F539" t="str">
            <v>Вентилятор E1-E3</v>
          </cell>
          <cell r="G539">
            <v>3560</v>
          </cell>
          <cell r="J539" t="str">
            <v>FAN</v>
          </cell>
        </row>
        <row r="540">
          <cell r="E540" t="str">
            <v>6SY7000-0AE02</v>
          </cell>
          <cell r="F540" t="str">
            <v>Предохранитель F10, F11, F20, F21</v>
          </cell>
          <cell r="G540">
            <v>98</v>
          </cell>
          <cell r="J540" t="str">
            <v>FUSE</v>
          </cell>
        </row>
        <row r="541">
          <cell r="E541" t="str">
            <v>8VP2120</v>
          </cell>
          <cell r="F541" t="str">
            <v>Приводной ремень механизм напора</v>
          </cell>
          <cell r="G541">
            <v>4800</v>
          </cell>
          <cell r="J541" t="str">
            <v>V形皮带</v>
          </cell>
        </row>
        <row r="542">
          <cell r="E542" t="str">
            <v>GB/T5783 52X140</v>
          </cell>
          <cell r="F542" t="str">
            <v>Болт M52x140</v>
          </cell>
          <cell r="G542">
            <v>33</v>
          </cell>
          <cell r="J542" t="str">
            <v>螺栓M52X140</v>
          </cell>
        </row>
        <row r="543">
          <cell r="E543" t="str">
            <v>GB/T5783 56X200</v>
          </cell>
          <cell r="F543" t="str">
            <v>Болт M56x200</v>
          </cell>
          <cell r="G543">
            <v>36</v>
          </cell>
          <cell r="J543" t="str">
            <v>螺栓M56X200</v>
          </cell>
        </row>
        <row r="544">
          <cell r="E544" t="str">
            <v>GB/T6170 52</v>
          </cell>
          <cell r="F544" t="str">
            <v>Гайка M52</v>
          </cell>
          <cell r="G544">
            <v>16</v>
          </cell>
          <cell r="J544" t="str">
            <v>螺母52</v>
          </cell>
        </row>
        <row r="545">
          <cell r="E545" t="str">
            <v>GB/T6170 56</v>
          </cell>
          <cell r="F545" t="str">
            <v>Гайка M56</v>
          </cell>
          <cell r="G545">
            <v>16</v>
          </cell>
          <cell r="J545" t="str">
            <v>螺母</v>
          </cell>
        </row>
        <row r="546">
          <cell r="E546" t="str">
            <v>GB/T95 52</v>
          </cell>
          <cell r="F546" t="str">
            <v>Шайба 52</v>
          </cell>
          <cell r="G546">
            <v>3</v>
          </cell>
          <cell r="J546" t="str">
            <v>垫圈52</v>
          </cell>
        </row>
        <row r="547">
          <cell r="E547" t="str">
            <v>HJ-140</v>
          </cell>
          <cell r="F547" t="str">
            <v>Фильтр воздуха кондиционера</v>
          </cell>
          <cell r="G547">
            <v>358</v>
          </cell>
          <cell r="J547" t="str">
            <v>空调空气净化过滤器</v>
          </cell>
        </row>
        <row r="548">
          <cell r="E548" t="str">
            <v>HJ-2000-50</v>
          </cell>
          <cell r="F548" t="str">
            <v>Заполнитель фильтра воздуха кондиционера (50кг.)</v>
          </cell>
          <cell r="G548">
            <v>599</v>
          </cell>
          <cell r="J548" t="str">
            <v>空调空气净化过滤器芯料50kg</v>
          </cell>
        </row>
        <row r="549">
          <cell r="E549" t="str">
            <v>JB/ZQ4339 56</v>
          </cell>
          <cell r="F549" t="str">
            <v>Шайба 56</v>
          </cell>
          <cell r="G549">
            <v>15</v>
          </cell>
          <cell r="J549" t="str">
            <v>垫圈56</v>
          </cell>
        </row>
        <row r="550">
          <cell r="E550" t="str">
            <v>K1601.30.02.02</v>
          </cell>
          <cell r="F550" t="str">
            <v>Фрикционный диск</v>
          </cell>
          <cell r="G550">
            <v>1256</v>
          </cell>
          <cell r="J550" t="str">
            <v>摩擦片</v>
          </cell>
        </row>
        <row r="551">
          <cell r="E551" t="str">
            <v>K1601.30.05</v>
          </cell>
          <cell r="F551" t="str">
            <v>Рычаг засова ковша</v>
          </cell>
          <cell r="G551">
            <v>2824</v>
          </cell>
          <cell r="J551" t="str">
            <v>开斗杠杆</v>
          </cell>
        </row>
        <row r="552">
          <cell r="E552" t="str">
            <v>K1601.30.07</v>
          </cell>
          <cell r="F552" t="str">
            <v>Напарвляющая засова ковша</v>
          </cell>
          <cell r="G552">
            <v>325</v>
          </cell>
          <cell r="J552" t="str">
            <v>护板</v>
          </cell>
        </row>
        <row r="553">
          <cell r="E553" t="str">
            <v>K1601.30.08.00</v>
          </cell>
          <cell r="F553" t="str">
            <v>Буфер JHQ-AF-5</v>
          </cell>
          <cell r="G553">
            <v>41</v>
          </cell>
          <cell r="J553" t="str">
            <v>缓冲器JHQ-AF-5</v>
          </cell>
        </row>
        <row r="554">
          <cell r="E554" t="str">
            <v>K1601.30.11</v>
          </cell>
          <cell r="F554" t="str">
            <v>Регулировочная пластина пяты</v>
          </cell>
          <cell r="G554">
            <v>1350</v>
          </cell>
          <cell r="J554" t="str">
            <v>固定板</v>
          </cell>
        </row>
        <row r="555">
          <cell r="E555" t="str">
            <v>K1601.30.13</v>
          </cell>
          <cell r="F555" t="str">
            <v>Клин межзубовой защиты</v>
          </cell>
          <cell r="G555">
            <v>47.5</v>
          </cell>
          <cell r="J555" t="str">
            <v>楔块</v>
          </cell>
        </row>
        <row r="556">
          <cell r="E556" t="str">
            <v>K1601.30.14</v>
          </cell>
          <cell r="F556" t="str">
            <v>Скоба межзубовой защиты</v>
          </cell>
          <cell r="G556">
            <v>50.53</v>
          </cell>
          <cell r="J556" t="str">
            <v>卡板</v>
          </cell>
        </row>
        <row r="557">
          <cell r="E557" t="str">
            <v>K1601.33.18</v>
          </cell>
          <cell r="F557" t="str">
            <v>Клин боковой защиты</v>
          </cell>
          <cell r="G557">
            <v>30</v>
          </cell>
          <cell r="J557" t="str">
            <v>楔块</v>
          </cell>
        </row>
        <row r="558">
          <cell r="E558" t="str">
            <v>K1601.33.19</v>
          </cell>
          <cell r="F558" t="str">
            <v>Скоба боковой защиты</v>
          </cell>
          <cell r="G558">
            <v>31</v>
          </cell>
          <cell r="J558" t="str">
            <v>C形卡板</v>
          </cell>
        </row>
        <row r="559">
          <cell r="E559" t="str">
            <v>K1602.05.04</v>
          </cell>
          <cell r="F559" t="str">
            <v>Подъёманый канат</v>
          </cell>
          <cell r="G559">
            <v>6780</v>
          </cell>
          <cell r="J559" t="str">
            <v>提升绳</v>
          </cell>
        </row>
        <row r="560">
          <cell r="E560" t="str">
            <v>92692284</v>
          </cell>
          <cell r="F560" t="str">
            <v>Охлаждающая жидкость 92692284 (канистра 5л)</v>
          </cell>
          <cell r="G560">
            <v>259</v>
          </cell>
          <cell r="J560" t="str">
            <v>冷却液</v>
          </cell>
        </row>
        <row r="561">
          <cell r="E561" t="str">
            <v>K1613.01.11.00</v>
          </cell>
          <cell r="F561" t="str">
            <v>Буферный блок</v>
          </cell>
          <cell r="G561">
            <v>368</v>
          </cell>
          <cell r="J561" t="str">
            <v>缓冲块</v>
          </cell>
        </row>
        <row r="562">
          <cell r="E562" t="str">
            <v>k1622.22.11</v>
          </cell>
          <cell r="F562" t="str">
            <v>Фильтрующий стакан</v>
          </cell>
          <cell r="G562">
            <v>244</v>
          </cell>
          <cell r="J562" t="str">
            <v>滤筒</v>
          </cell>
        </row>
        <row r="563">
          <cell r="E563" t="str">
            <v>K1623.01.01.01.02.00</v>
          </cell>
          <cell r="F563" t="str">
            <v>Износостойкий боковой вкладыш внутри ковша (боковая износостойкая стенка внутри ковша)</v>
          </cell>
          <cell r="G563">
            <v>12209</v>
          </cell>
          <cell r="J563" t="str">
            <v>斗体内侧耐磨衬板</v>
          </cell>
        </row>
        <row r="564">
          <cell r="E564" t="str">
            <v>K1623.01.01.01.03.00</v>
          </cell>
          <cell r="F564" t="str">
            <v>Внешний износостойкий вкладыш</v>
          </cell>
          <cell r="G564">
            <v>5187</v>
          </cell>
          <cell r="J564" t="str">
            <v>外侧耐磨衬板</v>
          </cell>
        </row>
        <row r="565">
          <cell r="E565" t="str">
            <v>K1623.01.01.01.04.00</v>
          </cell>
          <cell r="F565" t="str">
            <v>Амортизатор днища ковша</v>
          </cell>
          <cell r="G565">
            <v>2322</v>
          </cell>
          <cell r="J565" t="str">
            <v>斗体内部缓冲支座</v>
          </cell>
        </row>
        <row r="566">
          <cell r="E566" t="str">
            <v>K1623.01.03.02.00</v>
          </cell>
          <cell r="F566" t="str">
            <v>Износостойкий вкладыш на внутреннем профиле днища ковша</v>
          </cell>
          <cell r="G566">
            <v>3913</v>
          </cell>
          <cell r="J566" t="str">
            <v>斗底内侧耐磨衬板</v>
          </cell>
        </row>
        <row r="567">
          <cell r="E567" t="str">
            <v>K1623.01.03.03.00</v>
          </cell>
          <cell r="F567" t="str">
            <v>Износостойкий вкладыш на наружнем профиле днища ковша</v>
          </cell>
          <cell r="G567">
            <v>3332</v>
          </cell>
          <cell r="J567" t="str">
            <v>斗底外侧耐磨衬板</v>
          </cell>
        </row>
        <row r="568">
          <cell r="E568" t="str">
            <v>K1623.01.12</v>
          </cell>
          <cell r="F568" t="str">
            <v>Межзубовая защита</v>
          </cell>
          <cell r="G568">
            <v>1319.3086499999999</v>
          </cell>
          <cell r="J568" t="str">
            <v>中部护套</v>
          </cell>
        </row>
        <row r="569">
          <cell r="E569" t="str">
            <v>K1623.01.15</v>
          </cell>
          <cell r="F569" t="str">
            <v>Боковая защита ковша</v>
          </cell>
          <cell r="G569">
            <v>939</v>
          </cell>
          <cell r="J569" t="str">
            <v>侧护套</v>
          </cell>
        </row>
        <row r="570">
          <cell r="E570" t="str">
            <v>K1623.01.16</v>
          </cell>
          <cell r="F570" t="str">
            <v>Защитная накладка угловая правая</v>
          </cell>
          <cell r="G570">
            <v>1194.25</v>
          </cell>
          <cell r="J570" t="str">
            <v>护套（右）</v>
          </cell>
        </row>
        <row r="571">
          <cell r="E571" t="str">
            <v>K1623.01.17</v>
          </cell>
          <cell r="F571" t="str">
            <v>Защитная накладка угловая левая</v>
          </cell>
          <cell r="G571">
            <v>1194.25</v>
          </cell>
          <cell r="J571" t="str">
            <v>护套（左）</v>
          </cell>
        </row>
        <row r="572">
          <cell r="E572" t="str">
            <v>K1801.01.05</v>
          </cell>
          <cell r="F572" t="str">
            <v>Рычаг открывания днища ковша</v>
          </cell>
          <cell r="G572">
            <v>2772</v>
          </cell>
          <cell r="J572" t="str">
            <v>开斗杠杆</v>
          </cell>
        </row>
        <row r="573">
          <cell r="E573" t="str">
            <v>K1801.01.06</v>
          </cell>
          <cell r="F573" t="str">
            <v>Пластина износа засова ковша</v>
          </cell>
          <cell r="G573">
            <v>501</v>
          </cell>
          <cell r="J573" t="str">
            <v>护板</v>
          </cell>
        </row>
        <row r="574">
          <cell r="E574" t="str">
            <v>K1801.01.09</v>
          </cell>
          <cell r="F574" t="str">
            <v>Регулировочная пластина пяты</v>
          </cell>
          <cell r="G574">
            <v>1250</v>
          </cell>
          <cell r="J574" t="str">
            <v>固定板</v>
          </cell>
        </row>
        <row r="575">
          <cell r="E575" t="str">
            <v>K1801.03.02.03</v>
          </cell>
          <cell r="F575" t="str">
            <v>Приводной ремень механизма напора</v>
          </cell>
          <cell r="G575">
            <v>5975</v>
          </cell>
          <cell r="J575" t="str">
            <v>V形皮带</v>
          </cell>
        </row>
        <row r="576">
          <cell r="E576" t="str">
            <v>K1801.05.10.00</v>
          </cell>
          <cell r="F576" t="str">
            <v>Подъёманый канат</v>
          </cell>
          <cell r="G576">
            <v>7973</v>
          </cell>
          <cell r="J576" t="str">
            <v>提升绳</v>
          </cell>
        </row>
        <row r="577">
          <cell r="E577" t="str">
            <v>K1802.04.00-01</v>
          </cell>
          <cell r="F577" t="str">
            <v>Трос φ15-6X36SW+IWR1960 L=22m</v>
          </cell>
          <cell r="G577">
            <v>153</v>
          </cell>
          <cell r="J577" t="str">
            <v>钢丝绳 φ15-6X36SW+IWR1960 L=22m</v>
          </cell>
        </row>
        <row r="578">
          <cell r="E578" t="str">
            <v>K1812.01.01.01.04.00</v>
          </cell>
          <cell r="F578" t="str">
            <v>Амортизатор днища ковша</v>
          </cell>
          <cell r="G578">
            <v>5698</v>
          </cell>
          <cell r="J578" t="str">
            <v>斗体内部缓冲支座</v>
          </cell>
        </row>
        <row r="579">
          <cell r="E579" t="str">
            <v>K1812.01.23</v>
          </cell>
          <cell r="F579" t="str">
            <v>Буферный блок</v>
          </cell>
          <cell r="G579">
            <v>232</v>
          </cell>
          <cell r="J579" t="str">
            <v>缓冲块</v>
          </cell>
        </row>
        <row r="580">
          <cell r="E580" t="str">
            <v>K1838.01.01.01.02.00</v>
          </cell>
          <cell r="F580" t="str">
            <v>Износостойкий боковой вкладыш внутри ковша (боковая износостойкая стенка внутри ковша)</v>
          </cell>
          <cell r="G580">
            <v>26196</v>
          </cell>
          <cell r="J580" t="str">
            <v>斗体内侧耐磨衬板</v>
          </cell>
        </row>
        <row r="581">
          <cell r="E581" t="str">
            <v>K1838.01.01.01.03.00</v>
          </cell>
          <cell r="F581" t="str">
            <v>Износостойкий боковой вкладыш снаружи ковша (боковая износостойкая стенка снаружи ковша)</v>
          </cell>
          <cell r="G581">
            <v>7281</v>
          </cell>
          <cell r="J581" t="str">
            <v>斗体外侧耐磨衬板</v>
          </cell>
        </row>
        <row r="582">
          <cell r="E582" t="str">
            <v>K1838.01.03.01.01.00</v>
          </cell>
          <cell r="F582" t="str">
            <v>Износостойкий вкладыш на внутреннем профиле днища ковша</v>
          </cell>
          <cell r="G582">
            <v>8501</v>
          </cell>
          <cell r="J582" t="str">
            <v>斗底内侧耐磨衬板</v>
          </cell>
        </row>
        <row r="583">
          <cell r="E583" t="str">
            <v>k1838.22.01</v>
          </cell>
          <cell r="F583" t="str">
            <v>Фильтрующий стакан</v>
          </cell>
          <cell r="G583">
            <v>244</v>
          </cell>
          <cell r="J583" t="str">
            <v>滤筒</v>
          </cell>
        </row>
        <row r="584">
          <cell r="E584" t="str">
            <v>K1839.01.03.01.02.00</v>
          </cell>
          <cell r="F584" t="str">
            <v>Износостойкий вкладыш на наружнем профиле днища ковша</v>
          </cell>
          <cell r="G584">
            <v>3261</v>
          </cell>
          <cell r="J584" t="str">
            <v>斗底外侧耐磨衬板</v>
          </cell>
        </row>
        <row r="585">
          <cell r="E585" t="str">
            <v>K1839.01.18</v>
          </cell>
          <cell r="F585" t="str">
            <v>Защитная накладка угловая правая</v>
          </cell>
          <cell r="G585">
            <v>1290</v>
          </cell>
          <cell r="J585" t="str">
            <v>护套（右）</v>
          </cell>
        </row>
        <row r="586">
          <cell r="E586" t="str">
            <v>K1839.01.19</v>
          </cell>
          <cell r="F586" t="str">
            <v>Защитная накладка угловая левая</v>
          </cell>
          <cell r="G586">
            <v>1290</v>
          </cell>
          <cell r="J586" t="str">
            <v>护套（左）</v>
          </cell>
        </row>
        <row r="587">
          <cell r="E587" t="str">
            <v>KH01C-300-002</v>
          </cell>
          <cell r="F587" t="str">
            <v>графитовая щётка</v>
          </cell>
          <cell r="G587">
            <v>124</v>
          </cell>
          <cell r="J587" t="str">
            <v>零环/检测环碳刷</v>
          </cell>
        </row>
        <row r="588">
          <cell r="E588" t="str">
            <v>KH04-400-002</v>
          </cell>
          <cell r="F588" t="str">
            <v>графитовая щётка</v>
          </cell>
          <cell r="G588">
            <v>9</v>
          </cell>
          <cell r="J588" t="str">
            <v>380V碳刷</v>
          </cell>
        </row>
        <row r="589">
          <cell r="E589" t="str">
            <v>KH04-500-002</v>
          </cell>
          <cell r="F589" t="str">
            <v>графитовая щётка</v>
          </cell>
          <cell r="G589">
            <v>27</v>
          </cell>
          <cell r="J589" t="str">
            <v>690V碳刷</v>
          </cell>
        </row>
        <row r="590">
          <cell r="E590" t="str">
            <v>MB132-04</v>
          </cell>
          <cell r="F590" t="str">
            <v>Фрикционный диск механизм подъёманого тормоза</v>
          </cell>
          <cell r="G590">
            <v>4122</v>
          </cell>
          <cell r="J590" t="str">
            <v>提升制动器转子</v>
          </cell>
        </row>
        <row r="591">
          <cell r="E591" t="str">
            <v>MB132-17</v>
          </cell>
          <cell r="F591" t="str">
            <v>О-Образное уплотнение ходового тормоза</v>
          </cell>
          <cell r="G591">
            <v>107</v>
          </cell>
          <cell r="J591" t="str">
            <v>O型圈</v>
          </cell>
        </row>
        <row r="592">
          <cell r="E592" t="str">
            <v>MB132-18</v>
          </cell>
          <cell r="F592" t="str">
            <v>О-Образное уплотнение ходового тормоза</v>
          </cell>
          <cell r="G592">
            <v>159</v>
          </cell>
          <cell r="J592" t="str">
            <v>O型圈</v>
          </cell>
        </row>
        <row r="593">
          <cell r="E593" t="str">
            <v>MB132-19</v>
          </cell>
          <cell r="F593" t="str">
            <v>Пылезащитная манжета</v>
          </cell>
          <cell r="G593">
            <v>220</v>
          </cell>
          <cell r="J593" t="str">
            <v>防尘圈</v>
          </cell>
        </row>
        <row r="594">
          <cell r="E594" t="str">
            <v>MB155-04</v>
          </cell>
          <cell r="F594" t="str">
            <v>Фрикционный диск напорного тормоза</v>
          </cell>
          <cell r="G594">
            <v>3275</v>
          </cell>
          <cell r="J594" t="str">
            <v>推压制动器转子</v>
          </cell>
        </row>
        <row r="595">
          <cell r="E595" t="str">
            <v>MB155-17</v>
          </cell>
          <cell r="F595" t="str">
            <v>О-Образное уплотнение ходового тормоза</v>
          </cell>
          <cell r="G595">
            <v>108</v>
          </cell>
          <cell r="J595" t="str">
            <v>O型圈</v>
          </cell>
        </row>
        <row r="596">
          <cell r="E596" t="str">
            <v>MB155-18</v>
          </cell>
          <cell r="F596" t="str">
            <v>О-Образное уплотнение ходового тормоза</v>
          </cell>
          <cell r="G596">
            <v>162</v>
          </cell>
          <cell r="J596" t="str">
            <v>O型圈</v>
          </cell>
        </row>
        <row r="597">
          <cell r="E597" t="str">
            <v>MB155-19</v>
          </cell>
          <cell r="F597" t="str">
            <v>Пылезащитная манжета</v>
          </cell>
          <cell r="G597">
            <v>220</v>
          </cell>
          <cell r="J597" t="str">
            <v>防尘圈</v>
          </cell>
        </row>
        <row r="598">
          <cell r="E598" t="str">
            <v>MB195-04</v>
          </cell>
          <cell r="F598" t="str">
            <v>Фрикционный диск подъёмного тормоза</v>
          </cell>
          <cell r="G598">
            <v>3532</v>
          </cell>
          <cell r="J598" t="str">
            <v>提升制动器转子</v>
          </cell>
        </row>
        <row r="599">
          <cell r="E599" t="str">
            <v>MB195-17</v>
          </cell>
          <cell r="F599" t="str">
            <v>О-Образное уплотнение ходового тормоза</v>
          </cell>
          <cell r="G599">
            <v>106</v>
          </cell>
          <cell r="J599" t="str">
            <v>O型圈</v>
          </cell>
        </row>
        <row r="600">
          <cell r="E600" t="str">
            <v>MB195-18</v>
          </cell>
          <cell r="F600" t="str">
            <v>О-Образное уплотнение ходового тормоза</v>
          </cell>
          <cell r="G600">
            <v>157</v>
          </cell>
          <cell r="J600" t="str">
            <v>O型圈</v>
          </cell>
        </row>
        <row r="601">
          <cell r="E601" t="str">
            <v>MB195-19</v>
          </cell>
          <cell r="F601" t="str">
            <v>Пылезащитная манжета</v>
          </cell>
          <cell r="G601">
            <v>217</v>
          </cell>
          <cell r="J601" t="str">
            <v>防尘圈</v>
          </cell>
        </row>
        <row r="602">
          <cell r="E602" t="str">
            <v>MB223-04</v>
          </cell>
          <cell r="F602" t="str">
            <v>Фрикционный диск напорного тормоза</v>
          </cell>
          <cell r="G602">
            <v>3485</v>
          </cell>
          <cell r="J602" t="str">
            <v>推压制动器转子</v>
          </cell>
        </row>
        <row r="603">
          <cell r="E603" t="str">
            <v>MB223-17</v>
          </cell>
          <cell r="F603" t="str">
            <v>О-Образное уплотнение ходового тормоза</v>
          </cell>
          <cell r="G603">
            <v>106</v>
          </cell>
          <cell r="J603" t="str">
            <v>O型圈</v>
          </cell>
        </row>
        <row r="604">
          <cell r="E604" t="str">
            <v>MB223-18</v>
          </cell>
          <cell r="F604" t="str">
            <v>О-Образное уплотнение ходового тормоза</v>
          </cell>
          <cell r="G604">
            <v>157</v>
          </cell>
          <cell r="J604" t="str">
            <v>O型圈</v>
          </cell>
        </row>
        <row r="605">
          <cell r="E605" t="str">
            <v>MB223-19</v>
          </cell>
          <cell r="F605" t="str">
            <v>Пылезащитная манжета</v>
          </cell>
          <cell r="G605">
            <v>155</v>
          </cell>
          <cell r="J605" t="str">
            <v>防尘圈</v>
          </cell>
        </row>
        <row r="606">
          <cell r="E606" t="str">
            <v>MB224-04</v>
          </cell>
          <cell r="F606" t="str">
            <v>Фрикционный диск поворотного тормоза</v>
          </cell>
          <cell r="G606">
            <v>2591</v>
          </cell>
          <cell r="J606" t="str">
            <v>回转制动器转子</v>
          </cell>
        </row>
        <row r="607">
          <cell r="E607" t="str">
            <v>MB224-17</v>
          </cell>
          <cell r="F607" t="str">
            <v>О-Образное уплотнение ходового тормоза</v>
          </cell>
          <cell r="G607">
            <v>92</v>
          </cell>
          <cell r="J607" t="str">
            <v>O型圈</v>
          </cell>
        </row>
        <row r="608">
          <cell r="E608" t="str">
            <v>MB224-18</v>
          </cell>
          <cell r="F608" t="str">
            <v>О-Образное уплотнение ходового тормоза</v>
          </cell>
          <cell r="G608">
            <v>142</v>
          </cell>
          <cell r="J608" t="str">
            <v>O型圈</v>
          </cell>
        </row>
        <row r="609">
          <cell r="E609" t="str">
            <v>MB224-19</v>
          </cell>
          <cell r="F609" t="str">
            <v>Пылезащитная манжета</v>
          </cell>
          <cell r="G609">
            <v>169</v>
          </cell>
          <cell r="J609" t="str">
            <v>防尘圈</v>
          </cell>
        </row>
        <row r="610">
          <cell r="E610" t="str">
            <v>MB253-04</v>
          </cell>
          <cell r="F610" t="str">
            <v>Фрикционный диск поворотного тормоза</v>
          </cell>
          <cell r="G610">
            <v>3275</v>
          </cell>
          <cell r="J610" t="str">
            <v>回转制动器转子</v>
          </cell>
        </row>
        <row r="611">
          <cell r="E611" t="str">
            <v>MB253-17</v>
          </cell>
          <cell r="F611" t="str">
            <v>О-Образное уплотнение ходового тормоза</v>
          </cell>
          <cell r="G611">
            <v>91</v>
          </cell>
          <cell r="J611" t="str">
            <v>O型圈</v>
          </cell>
        </row>
        <row r="612">
          <cell r="E612" t="str">
            <v>MB253-18</v>
          </cell>
          <cell r="F612" t="str">
            <v>О-Образное уплотнение ходового тормоза</v>
          </cell>
          <cell r="G612">
            <v>144</v>
          </cell>
          <cell r="J612" t="str">
            <v>O型圈</v>
          </cell>
        </row>
        <row r="613">
          <cell r="E613" t="str">
            <v>MB253-19</v>
          </cell>
          <cell r="F613" t="str">
            <v>Пылезащитная манжета</v>
          </cell>
          <cell r="G613">
            <v>207</v>
          </cell>
          <cell r="J613" t="str">
            <v>防尘圈</v>
          </cell>
        </row>
        <row r="614">
          <cell r="E614" t="str">
            <v>MB265-04</v>
          </cell>
          <cell r="F614" t="str">
            <v>Фрикционный диск механизм ходаового тормоза</v>
          </cell>
          <cell r="G614">
            <v>2634</v>
          </cell>
          <cell r="J614" t="str">
            <v>行走制动器转子</v>
          </cell>
        </row>
        <row r="615">
          <cell r="E615" t="str">
            <v>MB266-04</v>
          </cell>
          <cell r="F615" t="str">
            <v>Фрикционный диск механизм ходаового тормоза</v>
          </cell>
          <cell r="G615">
            <v>3484</v>
          </cell>
          <cell r="J615" t="str">
            <v>行走制动器转子</v>
          </cell>
        </row>
        <row r="616">
          <cell r="E616" t="str">
            <v>MB266-17</v>
          </cell>
          <cell r="F616" t="str">
            <v>О-Образное уплотнение ходового тормоза</v>
          </cell>
          <cell r="G616">
            <v>92</v>
          </cell>
          <cell r="J616" t="str">
            <v>O型圈</v>
          </cell>
        </row>
        <row r="617">
          <cell r="E617" t="str">
            <v>MB266-18</v>
          </cell>
          <cell r="F617" t="str">
            <v>О-Образное уплотнение ходового тормоза</v>
          </cell>
          <cell r="G617">
            <v>142</v>
          </cell>
          <cell r="J617" t="str">
            <v>O型圈</v>
          </cell>
        </row>
        <row r="618">
          <cell r="E618" t="str">
            <v>MB266-19</v>
          </cell>
          <cell r="F618" t="str">
            <v>Пылезащитная манжета</v>
          </cell>
          <cell r="G618">
            <v>169</v>
          </cell>
          <cell r="J618" t="str">
            <v>防尘圈</v>
          </cell>
        </row>
        <row r="619">
          <cell r="E619" t="str">
            <v>PDD33468-E</v>
          </cell>
          <cell r="F619" t="str">
            <v>Клин коронки</v>
          </cell>
          <cell r="G619">
            <v>125.7</v>
          </cell>
          <cell r="J619" t="str">
            <v>销</v>
          </cell>
        </row>
        <row r="620">
          <cell r="E620" t="str">
            <v>PDE50822-A</v>
          </cell>
          <cell r="F620" t="str">
            <v>Скоба зубцедержателя (адаптера)</v>
          </cell>
          <cell r="G620">
            <v>580</v>
          </cell>
          <cell r="J620" t="str">
            <v>C形卡板</v>
          </cell>
        </row>
        <row r="621">
          <cell r="E621" t="str">
            <v>PDE50854</v>
          </cell>
          <cell r="F621" t="str">
            <v>Клин зубцедержателя (адаптера)</v>
          </cell>
          <cell r="G621">
            <v>288.45</v>
          </cell>
          <cell r="J621" t="str">
            <v>楔子</v>
          </cell>
        </row>
        <row r="622">
          <cell r="E622" t="str">
            <v>PDE53555-C</v>
          </cell>
          <cell r="F622" t="str">
            <v>Зубцедержатель (адаптер)</v>
          </cell>
          <cell r="G622">
            <v>3361.05</v>
          </cell>
          <cell r="J622" t="str">
            <v>齿座</v>
          </cell>
        </row>
        <row r="623">
          <cell r="E623" t="str">
            <v>PDE53590-8</v>
          </cell>
          <cell r="F623" t="str">
            <v xml:space="preserve">Коронка </v>
          </cell>
          <cell r="G623">
            <v>808.59</v>
          </cell>
          <cell r="J623" t="str">
            <v>齿尖</v>
          </cell>
        </row>
        <row r="624">
          <cell r="E624" t="str">
            <v>PDE53621</v>
          </cell>
          <cell r="F624" t="str">
            <v>Накладка износостойкая</v>
          </cell>
          <cell r="G624">
            <v>380.73</v>
          </cell>
          <cell r="J624" t="str">
            <v>耐磨帽</v>
          </cell>
        </row>
        <row r="625">
          <cell r="E625" t="str">
            <v>SFLNJ-12KV/50A</v>
          </cell>
          <cell r="F625" t="str">
            <v>Высоковольтный предохранитель</v>
          </cell>
          <cell r="G625">
            <v>135</v>
          </cell>
          <cell r="J625" t="str">
            <v>高压限流熔断器 12KVAC 熔体50A,长度292mm</v>
          </cell>
        </row>
        <row r="626">
          <cell r="E626" t="str">
            <v>K1605.18.04.01</v>
          </cell>
          <cell r="F626" t="str">
            <v>Пластина гусеничной ленты</v>
          </cell>
          <cell r="G626">
            <v>6718.5</v>
          </cell>
          <cell r="J626" t="str">
            <v>履带板Пластина гусеничной ленты</v>
          </cell>
        </row>
        <row r="627">
          <cell r="E627" t="str">
            <v>K1605.18.04.02</v>
          </cell>
          <cell r="F627" t="str">
            <v>Штифт гусеничной ленты</v>
          </cell>
          <cell r="G627">
            <v>646</v>
          </cell>
          <cell r="J627" t="str">
            <v>履带销Штифт гусеничной ленты</v>
          </cell>
        </row>
        <row r="628">
          <cell r="E628" t="str">
            <v>GB/T31.1 42X130</v>
          </cell>
          <cell r="F628" t="str">
            <v xml:space="preserve"> M42X130 Болт M42X130</v>
          </cell>
          <cell r="G628">
            <v>10</v>
          </cell>
          <cell r="J628" t="str">
            <v>螺栓 M42X130 Болт M42X130</v>
          </cell>
        </row>
        <row r="629">
          <cell r="E629" t="str">
            <v>GB/T6170 42</v>
          </cell>
          <cell r="F629" t="str">
            <v xml:space="preserve"> M42 Гайка  M42</v>
          </cell>
          <cell r="G629">
            <v>3</v>
          </cell>
          <cell r="J629" t="str">
            <v>螺母 M42 Гайка  M42</v>
          </cell>
        </row>
        <row r="630">
          <cell r="E630" t="str">
            <v>GB/T93 42</v>
          </cell>
          <cell r="F630" t="str">
            <v>42 Шайба 42</v>
          </cell>
          <cell r="G630">
            <v>1</v>
          </cell>
          <cell r="J630" t="str">
            <v>垫圈 42 Шайба 42</v>
          </cell>
        </row>
        <row r="631">
          <cell r="E631" t="str">
            <v>GB/T97.1 42</v>
          </cell>
          <cell r="F631" t="str">
            <v>42 Шайба 42</v>
          </cell>
          <cell r="G631">
            <v>1</v>
          </cell>
          <cell r="J631" t="str">
            <v>垫圈 42 Шайба 42</v>
          </cell>
        </row>
        <row r="632">
          <cell r="E632" t="str">
            <v>GB/T91 8X80</v>
          </cell>
          <cell r="F632" t="str">
            <v>Стопор  8X80</v>
          </cell>
          <cell r="G632">
            <v>4</v>
          </cell>
          <cell r="J632" t="str">
            <v>销 8X80 Штифт разводной  8X80</v>
          </cell>
        </row>
        <row r="633">
          <cell r="E633" t="str">
            <v>K1812.18.04.01</v>
          </cell>
          <cell r="F633" t="str">
            <v>Пластина гусеничной ленты</v>
          </cell>
          <cell r="G633">
            <v>7235.1</v>
          </cell>
          <cell r="J633" t="str">
            <v>履带板  Пластина гусеничной ленты</v>
          </cell>
        </row>
        <row r="634">
          <cell r="E634" t="str">
            <v>K1812.18.04.02</v>
          </cell>
          <cell r="F634" t="str">
            <v>Штифт гусеничной ленты</v>
          </cell>
          <cell r="G634">
            <v>568</v>
          </cell>
          <cell r="J634" t="str">
            <v>履带销  Штифт гусеничной ленты</v>
          </cell>
        </row>
        <row r="635">
          <cell r="E635" t="str">
            <v>GB/T31.1 36X130</v>
          </cell>
          <cell r="F635" t="str">
            <v>Болт M36X130</v>
          </cell>
          <cell r="G635">
            <v>9</v>
          </cell>
          <cell r="J635" t="str">
            <v>螺栓  Болт M36X130</v>
          </cell>
        </row>
        <row r="636">
          <cell r="E636" t="str">
            <v>GB/T 6178 36</v>
          </cell>
          <cell r="F636" t="str">
            <v xml:space="preserve"> Гайка M36</v>
          </cell>
          <cell r="G636">
            <v>3</v>
          </cell>
          <cell r="J636" t="str">
            <v>螺母  Гайка M36</v>
          </cell>
        </row>
        <row r="637">
          <cell r="E637" t="str">
            <v>GB/T 97.1 36</v>
          </cell>
          <cell r="F637" t="str">
            <v>Шайба  36</v>
          </cell>
          <cell r="G637">
            <v>1</v>
          </cell>
          <cell r="J637" t="str">
            <v>垫圈 Шайба  36</v>
          </cell>
        </row>
        <row r="638">
          <cell r="E638" t="str">
            <v>GB/T91 6X90</v>
          </cell>
          <cell r="F638" t="str">
            <v>Стопор 6X90</v>
          </cell>
          <cell r="G638">
            <v>3</v>
          </cell>
          <cell r="J638" t="str">
            <v>开口销 Штифт разводной 6X90</v>
          </cell>
        </row>
        <row r="639">
          <cell r="E639" t="str">
            <v>K1812.18.04.03</v>
          </cell>
          <cell r="F639" t="str">
            <v>Втулка</v>
          </cell>
          <cell r="G639">
            <v>10</v>
          </cell>
          <cell r="J639" t="str">
            <v>套 Втулка</v>
          </cell>
        </row>
        <row r="640">
          <cell r="E640" t="str">
            <v>K1802.01.10.00-11</v>
          </cell>
          <cell r="F640" t="str">
            <v>Зубцедержатель</v>
          </cell>
          <cell r="G640">
            <v>2688</v>
          </cell>
          <cell r="J640" t="str">
            <v>齿座</v>
          </cell>
        </row>
        <row r="641">
          <cell r="E641" t="str">
            <v>K1802.01.10.00-12</v>
          </cell>
          <cell r="F641" t="str">
            <v>Коронка зубца</v>
          </cell>
          <cell r="G641">
            <v>646</v>
          </cell>
          <cell r="J641" t="str">
            <v>齿尖</v>
          </cell>
        </row>
        <row r="642">
          <cell r="E642" t="str">
            <v>K1802.01.10.00-13</v>
          </cell>
          <cell r="F642" t="str">
            <v>Клин зубца</v>
          </cell>
          <cell r="G642">
            <v>86</v>
          </cell>
          <cell r="J642" t="str">
            <v>销</v>
          </cell>
        </row>
        <row r="643">
          <cell r="E643" t="str">
            <v>K1802.01.10.00-14</v>
          </cell>
          <cell r="F643" t="str">
            <v>С-образная скоба</v>
          </cell>
          <cell r="G643">
            <v>383</v>
          </cell>
          <cell r="J643" t="str">
            <v>C卡</v>
          </cell>
        </row>
        <row r="644">
          <cell r="E644" t="str">
            <v>K1802.01.10.00-15</v>
          </cell>
          <cell r="F644" t="str">
            <v>Клин крепления зубцедержателя</v>
          </cell>
          <cell r="G644">
            <v>230</v>
          </cell>
          <cell r="J644" t="str">
            <v>楔子</v>
          </cell>
        </row>
        <row r="645">
          <cell r="E645" t="str">
            <v>K1802.01.10.00-16</v>
          </cell>
          <cell r="F645" t="str">
            <v>Накладка износостойкая</v>
          </cell>
          <cell r="G645">
            <v>298</v>
          </cell>
          <cell r="J645" t="str">
            <v>耐磨帽</v>
          </cell>
        </row>
        <row r="646">
          <cell r="E646" t="str">
            <v>K1623.01.01.01.02.00-A</v>
          </cell>
          <cell r="F646" t="str">
            <v>Комплект футеровки внутренних боковых стенок ковша (левая и правая)</v>
          </cell>
          <cell r="G646">
            <v>2075.5300000000002</v>
          </cell>
          <cell r="J646" t="str">
            <v>斗体内侧耐磨衬板</v>
          </cell>
        </row>
        <row r="647">
          <cell r="E647" t="str">
            <v>K1623.01.01.01.02.00-B</v>
          </cell>
          <cell r="F647" t="str">
            <v>Комплект футеровки сочленения внутренних  боковых стенок и передней стенки ковша (левая и правая)</v>
          </cell>
          <cell r="G647">
            <v>1953.44</v>
          </cell>
          <cell r="J647" t="str">
            <v>斗体内侧耐磨衬板</v>
          </cell>
        </row>
        <row r="648">
          <cell r="E648" t="str">
            <v>K1623.01.01.01.02.00-C</v>
          </cell>
          <cell r="F648" t="str">
            <v>Комплект футеровки внутренней части передней стенки ковша</v>
          </cell>
          <cell r="G648">
            <v>8180.03</v>
          </cell>
          <cell r="J648" t="str">
            <v>斗体内侧耐磨衬板</v>
          </cell>
        </row>
        <row r="649">
          <cell r="E649" t="str">
            <v>K1838.01.01.01.02.00-A</v>
          </cell>
          <cell r="F649" t="str">
            <v>Комплект футеровки  внутренних боковых стенок ковша (левая и правая)</v>
          </cell>
          <cell r="G649">
            <v>12050.16</v>
          </cell>
          <cell r="J649" t="str">
            <v>斗体内侧耐磨衬板</v>
          </cell>
        </row>
        <row r="650">
          <cell r="E650" t="str">
            <v>K1838.01.01.01.02.00-B</v>
          </cell>
          <cell r="F650" t="str">
            <v>Комплект футеровки сочленения внутренних  боковых стенок и передней стенки ковша (левая и правая)</v>
          </cell>
          <cell r="G650">
            <v>1833.72</v>
          </cell>
          <cell r="J650" t="str">
            <v>斗体内侧耐磨衬板</v>
          </cell>
        </row>
        <row r="651">
          <cell r="E651" t="str">
            <v>K1838.01.01.01.02.00-C</v>
          </cell>
          <cell r="F651" t="str">
            <v>Комплект футеровки внутренней части передней стенки ковша</v>
          </cell>
          <cell r="G651">
            <v>12312.12</v>
          </cell>
          <cell r="J651" t="str">
            <v>斗体内侧耐磨衬板</v>
          </cell>
        </row>
        <row r="652">
          <cell r="E652" t="str">
            <v>1624183006</v>
          </cell>
          <cell r="F652" t="str">
            <v>DDp  Фильтр осушителя</v>
          </cell>
          <cell r="G652">
            <v>359</v>
          </cell>
          <cell r="J652" t="str">
            <v>干燥器滤芯</v>
          </cell>
        </row>
        <row r="653">
          <cell r="E653" t="str">
            <v>1624183004</v>
          </cell>
          <cell r="F653" t="str">
            <v>PD  Фильтр осушителя</v>
          </cell>
          <cell r="G653">
            <v>359</v>
          </cell>
          <cell r="J653" t="str">
            <v>干燥器滤芯</v>
          </cell>
        </row>
        <row r="654">
          <cell r="E654" t="str">
            <v>K1623.01.00</v>
          </cell>
          <cell r="F654" t="str">
            <v>Ковш в сборе</v>
          </cell>
          <cell r="G654">
            <v>625000</v>
          </cell>
          <cell r="J654" t="str">
            <v>铲斗总成</v>
          </cell>
        </row>
        <row r="655">
          <cell r="E655" t="str">
            <v>K1839.01.00</v>
          </cell>
          <cell r="F655" t="str">
            <v>Ковш в сборе</v>
          </cell>
          <cell r="G655">
            <v>927000</v>
          </cell>
          <cell r="J655" t="str">
            <v>铲斗总成</v>
          </cell>
        </row>
        <row r="656">
          <cell r="E656" t="str">
            <v>K1839.01.03.00</v>
          </cell>
          <cell r="F656" t="str">
            <v>Днище ковша в сборе</v>
          </cell>
          <cell r="G656">
            <v>116500</v>
          </cell>
          <cell r="J656" t="str">
            <v>斗底总成</v>
          </cell>
        </row>
        <row r="657">
          <cell r="E657" t="str">
            <v>K1623.01.03.00</v>
          </cell>
          <cell r="F657" t="str">
            <v>Днище ковша в сборе</v>
          </cell>
          <cell r="G657">
            <v>83500</v>
          </cell>
          <cell r="J657" t="str">
            <v>斗底总成</v>
          </cell>
        </row>
        <row r="658">
          <cell r="E658" t="str">
            <v>K1625.01.01.01.02.00</v>
          </cell>
          <cell r="F658" t="str">
            <v>Износостойкий боковой вкладыш внутри ковша (боковая износостойкая стенка внутри ковша)</v>
          </cell>
          <cell r="G658">
            <v>12209</v>
          </cell>
          <cell r="J658" t="str">
            <v>斗体内侧耐磨衬板</v>
          </cell>
        </row>
        <row r="659">
          <cell r="E659" t="str">
            <v>K1625.01.01.01.03.00</v>
          </cell>
          <cell r="F659" t="str">
            <v>Внешний износостойкий вкладыш</v>
          </cell>
          <cell r="G659">
            <v>5187</v>
          </cell>
          <cell r="J659" t="str">
            <v>外侧耐磨衬板</v>
          </cell>
        </row>
        <row r="660">
          <cell r="E660" t="str">
            <v>K1625.01.01.01.04.00</v>
          </cell>
          <cell r="F660" t="str">
            <v xml:space="preserve">Амортизационная основа внутри ковша </v>
          </cell>
          <cell r="G660">
            <v>2322</v>
          </cell>
          <cell r="J660" t="str">
            <v>斗体内部缓冲支座</v>
          </cell>
        </row>
        <row r="661">
          <cell r="E661" t="str">
            <v>K1625.01.03.02.00</v>
          </cell>
          <cell r="F661" t="str">
            <v>Износостойкий вкладыш на внутреннем профиле днища ковша</v>
          </cell>
          <cell r="G661">
            <v>3913</v>
          </cell>
          <cell r="J661" t="str">
            <v>斗底内侧耐磨衬板</v>
          </cell>
        </row>
        <row r="662">
          <cell r="E662" t="str">
            <v>K1625.01.03.03.00</v>
          </cell>
          <cell r="F662" t="str">
            <v>Износостойкий вкладыш на наружнем профиле днища ковша</v>
          </cell>
          <cell r="G662">
            <v>3332</v>
          </cell>
          <cell r="J662" t="str">
            <v>斗底外侧耐磨衬板</v>
          </cell>
        </row>
        <row r="663">
          <cell r="E663" t="str">
            <v>K1625.01.01.01.02.00-A</v>
          </cell>
          <cell r="F663" t="str">
            <v>Комплект футеровки внутренних боковых стенок ковша (левая и правая)</v>
          </cell>
          <cell r="G663">
            <v>2075.5300000000002</v>
          </cell>
          <cell r="J663" t="str">
            <v>斗体内侧耐磨衬板</v>
          </cell>
        </row>
        <row r="664">
          <cell r="E664" t="str">
            <v>K1625.01.01.01.02.00-B</v>
          </cell>
          <cell r="F664" t="str">
            <v>Комплект футеровки сочленения внутренних  боковых стенок и передней стенки ковша (левая и правая)</v>
          </cell>
          <cell r="G664">
            <v>1953.44</v>
          </cell>
          <cell r="J664" t="str">
            <v>斗体内侧耐磨衬板</v>
          </cell>
        </row>
        <row r="665">
          <cell r="E665" t="str">
            <v>K1625.01.01.01.02.00-C</v>
          </cell>
          <cell r="F665" t="str">
            <v>Комплект футеровки внутренней части передней стенки ковша</v>
          </cell>
          <cell r="G665">
            <v>8180.03</v>
          </cell>
          <cell r="J665" t="str">
            <v>斗体内侧耐磨衬板</v>
          </cell>
        </row>
        <row r="666">
          <cell r="E666" t="str">
            <v>K1625.03.21.01</v>
          </cell>
          <cell r="F666" t="str">
            <v>Втулка</v>
          </cell>
          <cell r="G666">
            <v>5493.98</v>
          </cell>
          <cell r="J666" t="str">
            <v>轴套</v>
          </cell>
        </row>
        <row r="667">
          <cell r="E667" t="str">
            <v>K1625.03.21.02</v>
          </cell>
          <cell r="F667" t="str">
            <v>Втулка</v>
          </cell>
          <cell r="G667">
            <v>2963.04</v>
          </cell>
          <cell r="J667" t="str">
            <v>衬套</v>
          </cell>
        </row>
        <row r="668">
          <cell r="E668" t="str">
            <v>K1625.03.21.17</v>
          </cell>
          <cell r="F668" t="str">
            <v>Кольцо манжеты</v>
          </cell>
          <cell r="G668">
            <v>6852.04</v>
          </cell>
          <cell r="J668" t="str">
            <v>止推垫圈</v>
          </cell>
        </row>
        <row r="669">
          <cell r="E669" t="str">
            <v>K1625.03.21.21</v>
          </cell>
          <cell r="F669" t="str">
            <v>Втулка</v>
          </cell>
          <cell r="G669">
            <v>9444.7000000000007</v>
          </cell>
          <cell r="J669" t="str">
            <v>套</v>
          </cell>
        </row>
        <row r="670">
          <cell r="E670" t="str">
            <v>K1601.05.02.00A</v>
          </cell>
          <cell r="F670" t="str">
            <v>Первичный вал редуктора подъёма в сборе</v>
          </cell>
          <cell r="G670">
            <v>9348.23</v>
          </cell>
          <cell r="J670" t="str">
            <v>输入轴</v>
          </cell>
        </row>
        <row r="671">
          <cell r="E671" t="str">
            <v>K1626.05.08.00</v>
          </cell>
          <cell r="F671" t="str">
            <v>муфта</v>
          </cell>
          <cell r="G671">
            <v>4419.01</v>
          </cell>
          <cell r="J671" t="str">
            <v>齿轮联轴节</v>
          </cell>
        </row>
        <row r="672">
          <cell r="E672" t="str">
            <v>JB/ZQ4224 225X8.6</v>
          </cell>
          <cell r="F672" t="str">
            <v>уплотнение</v>
          </cell>
          <cell r="G672">
            <v>3.45</v>
          </cell>
          <cell r="J672" t="str">
            <v>O形密封圈225X8.6</v>
          </cell>
        </row>
        <row r="673">
          <cell r="E673" t="str">
            <v>K1626.16.03.00</v>
          </cell>
          <cell r="F673" t="str">
            <v>муфта</v>
          </cell>
          <cell r="G673">
            <v>4012.46</v>
          </cell>
          <cell r="J673" t="str">
            <v>行走联轴器</v>
          </cell>
        </row>
        <row r="674">
          <cell r="E674" t="str">
            <v>JB/ZQ4224 245X8.6</v>
          </cell>
          <cell r="F674" t="str">
            <v>уплотнение</v>
          </cell>
          <cell r="G674">
            <v>4.0199999999999996</v>
          </cell>
          <cell r="J674" t="str">
            <v>O形密封圈245X8.6</v>
          </cell>
        </row>
        <row r="675">
          <cell r="E675" t="str">
            <v>K1623.01.05</v>
          </cell>
          <cell r="F675" t="str">
            <v>Рычаг открывания днища ковша</v>
          </cell>
          <cell r="G675">
            <v>2420.6799999999998</v>
          </cell>
          <cell r="J675" t="str">
            <v>开斗杠杆</v>
          </cell>
        </row>
        <row r="676">
          <cell r="E676" t="str">
            <v>k1601.04.02</v>
          </cell>
          <cell r="F676" t="str">
            <v>Коуш тросика ОДК</v>
          </cell>
          <cell r="G676">
            <v>68.05</v>
          </cell>
          <cell r="J676" t="str">
            <v>楔套</v>
          </cell>
        </row>
        <row r="677">
          <cell r="E677" t="str">
            <v>k1601.04.01</v>
          </cell>
          <cell r="F677" t="str">
            <v>Клин коуша</v>
          </cell>
          <cell r="G677">
            <v>28.42</v>
          </cell>
          <cell r="J677" t="str">
            <v xml:space="preserve">楔 </v>
          </cell>
        </row>
        <row r="678">
          <cell r="E678" t="str">
            <v>GB/T31.1</v>
          </cell>
          <cell r="F678" t="str">
            <v xml:space="preserve">болт </v>
          </cell>
          <cell r="G678">
            <v>15.5</v>
          </cell>
          <cell r="J678" t="str">
            <v>螺栓M42X130</v>
          </cell>
        </row>
        <row r="679">
          <cell r="E679" t="str">
            <v>GB/T6170</v>
          </cell>
          <cell r="F679" t="str">
            <v>Гайка М42</v>
          </cell>
          <cell r="G679">
            <v>4.0199999999999996</v>
          </cell>
          <cell r="J679" t="str">
            <v>螺母M42</v>
          </cell>
        </row>
        <row r="680">
          <cell r="E680" t="str">
            <v>GB/T93</v>
          </cell>
          <cell r="F680" t="str">
            <v>Шайба 42</v>
          </cell>
          <cell r="G680">
            <v>0.56999999999999995</v>
          </cell>
          <cell r="J680" t="str">
            <v>垫圈42</v>
          </cell>
        </row>
        <row r="681">
          <cell r="E681" t="str">
            <v>GB/T97.1</v>
          </cell>
          <cell r="F681" t="str">
            <v>Шайба 42</v>
          </cell>
          <cell r="G681">
            <v>1.1499999999999999</v>
          </cell>
          <cell r="J681" t="str">
            <v>垫圈42</v>
          </cell>
        </row>
        <row r="682">
          <cell r="E682" t="str">
            <v>GB/T91</v>
          </cell>
          <cell r="F682" t="str">
            <v xml:space="preserve">Штифт </v>
          </cell>
          <cell r="G682">
            <v>0.56999999999999995</v>
          </cell>
          <cell r="J682" t="str">
            <v>销8X80</v>
          </cell>
        </row>
        <row r="683">
          <cell r="E683" t="str">
            <v>K1626.01.04.02.00</v>
          </cell>
          <cell r="F683" t="str">
            <v>Кронштейн крепления каната</v>
          </cell>
          <cell r="G683">
            <v>867.38</v>
          </cell>
          <cell r="J683" t="str">
            <v>固定绳架</v>
          </cell>
        </row>
        <row r="684">
          <cell r="E684" t="str">
            <v>C65N D50 4P 50A</v>
          </cell>
          <cell r="F684" t="str">
            <v>выключатель</v>
          </cell>
          <cell r="G684">
            <v>370.38</v>
          </cell>
          <cell r="J684" t="str">
            <v>断路器</v>
          </cell>
        </row>
        <row r="685">
          <cell r="E685" t="str">
            <v>C65N C1 2P 1A</v>
          </cell>
          <cell r="F685" t="str">
            <v>выключатель</v>
          </cell>
          <cell r="G685">
            <v>96.18</v>
          </cell>
          <cell r="J685" t="str">
            <v>断路器</v>
          </cell>
        </row>
        <row r="686">
          <cell r="E686" t="str">
            <v>C65 C1 2P 1A</v>
          </cell>
          <cell r="F686" t="str">
            <v>выключатель</v>
          </cell>
          <cell r="G686">
            <v>96.18</v>
          </cell>
          <cell r="J686" t="str">
            <v>断路器</v>
          </cell>
        </row>
        <row r="687">
          <cell r="E687" t="str">
            <v>K8AK-PH 200-480V</v>
          </cell>
          <cell r="F687" t="str">
            <v>Регулятор</v>
          </cell>
          <cell r="G687">
            <v>261.56</v>
          </cell>
          <cell r="J687" t="str">
            <v>相序控制器</v>
          </cell>
        </row>
        <row r="688">
          <cell r="E688" t="str">
            <v>MY4 200-480V</v>
          </cell>
          <cell r="F688" t="str">
            <v>реле</v>
          </cell>
          <cell r="G688">
            <v>18.66</v>
          </cell>
          <cell r="J688" t="str">
            <v>控制继电器</v>
          </cell>
        </row>
        <row r="689">
          <cell r="E689" t="str">
            <v>H3BA-N8H</v>
          </cell>
          <cell r="F689" t="str">
            <v>реле</v>
          </cell>
          <cell r="G689">
            <v>230.84</v>
          </cell>
          <cell r="J689" t="str">
            <v>时间继电器</v>
          </cell>
        </row>
        <row r="690">
          <cell r="E690" t="str">
            <v>LC1-25M7C</v>
          </cell>
          <cell r="F690" t="str">
            <v>контактор</v>
          </cell>
          <cell r="G690">
            <v>379.57</v>
          </cell>
          <cell r="J690" t="str">
            <v>接触器</v>
          </cell>
        </row>
        <row r="691">
          <cell r="E691" t="str">
            <v>LR2D-1307C</v>
          </cell>
          <cell r="F691" t="str">
            <v>реле</v>
          </cell>
          <cell r="G691">
            <v>209.88</v>
          </cell>
          <cell r="J691" t="str">
            <v>热继电器</v>
          </cell>
        </row>
        <row r="692">
          <cell r="E692" t="str">
            <v>LR2D-1314C</v>
          </cell>
          <cell r="F692" t="str">
            <v>реле</v>
          </cell>
          <cell r="G692">
            <v>105.08</v>
          </cell>
          <cell r="J692" t="str">
            <v>热继电器</v>
          </cell>
        </row>
        <row r="693">
          <cell r="E693" t="str">
            <v>LR2D-1321C</v>
          </cell>
          <cell r="F693" t="str">
            <v>реле</v>
          </cell>
          <cell r="G693">
            <v>225.96</v>
          </cell>
          <cell r="J693" t="str">
            <v>热继电器</v>
          </cell>
        </row>
        <row r="694">
          <cell r="E694" t="str">
            <v>LAD-R4C 10-180/S</v>
          </cell>
          <cell r="F694" t="str">
            <v>Контакт</v>
          </cell>
          <cell r="G694">
            <v>163.66</v>
          </cell>
          <cell r="J694" t="str">
            <v>延时触头</v>
          </cell>
        </row>
        <row r="695">
          <cell r="E695" t="str">
            <v>SYB-2001</v>
          </cell>
          <cell r="F695" t="str">
            <v>вентилятор</v>
          </cell>
          <cell r="G695">
            <v>2631.14</v>
          </cell>
          <cell r="J695" t="str">
            <v>蒸发风机</v>
          </cell>
        </row>
        <row r="696">
          <cell r="E696" t="str">
            <v>FN050-VDW,A7P1</v>
          </cell>
          <cell r="F696" t="str">
            <v>вентилятор</v>
          </cell>
          <cell r="G696">
            <v>2631.14</v>
          </cell>
          <cell r="J696" t="str">
            <v>冷凝风机</v>
          </cell>
        </row>
        <row r="697">
          <cell r="E697" t="str">
            <v>JT125</v>
          </cell>
          <cell r="F697" t="str">
            <v>компрессор</v>
          </cell>
          <cell r="G697">
            <v>11577.41</v>
          </cell>
          <cell r="J697" t="str">
            <v>制冷压缩机</v>
          </cell>
        </row>
        <row r="698">
          <cell r="E698" t="str">
            <v>K1822.24.02.02</v>
          </cell>
          <cell r="F698" t="str">
            <v>Звездочка</v>
          </cell>
          <cell r="G698">
            <v>206.72</v>
          </cell>
          <cell r="J698" t="str">
            <v>链轮</v>
          </cell>
        </row>
        <row r="699">
          <cell r="E699" t="str">
            <v>K1822.24.02.04</v>
          </cell>
          <cell r="F699" t="str">
            <v>Звездочка</v>
          </cell>
          <cell r="G699">
            <v>1172.8699999999999</v>
          </cell>
          <cell r="J699" t="str">
            <v>链轮</v>
          </cell>
        </row>
        <row r="700">
          <cell r="E700" t="str">
            <v>K1822.24.02.07</v>
          </cell>
          <cell r="F700" t="str">
            <v>Подшипник</v>
          </cell>
          <cell r="G700">
            <v>999.45</v>
          </cell>
          <cell r="J700" t="str">
            <v>轴承</v>
          </cell>
        </row>
        <row r="701">
          <cell r="E701" t="str">
            <v>K1822.24.02.09</v>
          </cell>
          <cell r="F701" t="str">
            <v xml:space="preserve">Манжета </v>
          </cell>
          <cell r="G701">
            <v>6.03</v>
          </cell>
          <cell r="J701" t="str">
            <v>油封</v>
          </cell>
        </row>
        <row r="702">
          <cell r="E702" t="str">
            <v>K1626.24.03.00</v>
          </cell>
          <cell r="F702" t="str">
            <v>Кабелеукладчик</v>
          </cell>
          <cell r="G702">
            <v>5271.46</v>
          </cell>
          <cell r="J702" t="str">
            <v>排缆机构</v>
          </cell>
        </row>
        <row r="703">
          <cell r="E703" t="str">
            <v>K1802.24.05.04</v>
          </cell>
          <cell r="F703" t="str">
            <v>Звездочка</v>
          </cell>
          <cell r="G703">
            <v>97.62</v>
          </cell>
          <cell r="J703" t="str">
            <v>链轮</v>
          </cell>
        </row>
        <row r="704">
          <cell r="E704" t="str">
            <v>K1626.24.06.01</v>
          </cell>
          <cell r="F704" t="str">
            <v>Цепь</v>
          </cell>
          <cell r="G704">
            <v>74.650000000000006</v>
          </cell>
          <cell r="J704" t="str">
            <v>链条</v>
          </cell>
        </row>
        <row r="705">
          <cell r="E705" t="str">
            <v>K1626.24.06.00</v>
          </cell>
          <cell r="F705" t="str">
            <v>Передающий механизм намотоки кабеля</v>
          </cell>
          <cell r="G705">
            <v>11350.58</v>
          </cell>
          <cell r="J705" t="str">
            <v>排缆传动机构</v>
          </cell>
        </row>
        <row r="706">
          <cell r="E706" t="str">
            <v>109-1106</v>
          </cell>
          <cell r="F706" t="str">
            <v>Гидравлический мотор</v>
          </cell>
          <cell r="G706">
            <v>4444.57</v>
          </cell>
          <cell r="J706" t="str">
            <v>液压马达</v>
          </cell>
        </row>
        <row r="707">
          <cell r="E707" t="str">
            <v>PVQ13-A2R-SE1S-20-CM7D-12</v>
          </cell>
          <cell r="F707" t="str">
            <v xml:space="preserve">Гидравлический маслонасос </v>
          </cell>
          <cell r="G707">
            <v>4210</v>
          </cell>
          <cell r="J707" t="str">
            <v>油泵</v>
          </cell>
        </row>
        <row r="708">
          <cell r="E708" t="str">
            <v>Y112M-4</v>
          </cell>
          <cell r="F708" t="str">
            <v>Электродвигатель</v>
          </cell>
          <cell r="G708">
            <v>1203.8800000000001</v>
          </cell>
          <cell r="J708" t="str">
            <v>电缆卷筒油泵电机</v>
          </cell>
        </row>
        <row r="709">
          <cell r="E709" t="str">
            <v>IRS2.0/1.6</v>
          </cell>
          <cell r="F709" t="str">
            <v>Сепаратор</v>
          </cell>
          <cell r="G709">
            <v>1990.87</v>
          </cell>
          <cell r="J709" t="str">
            <v>汽水分离器</v>
          </cell>
        </row>
        <row r="710">
          <cell r="E710" t="str">
            <v>2901207204</v>
          </cell>
          <cell r="F710" t="str">
            <v>PD  Фильтр осушителя</v>
          </cell>
          <cell r="G710">
            <v>918.49</v>
          </cell>
          <cell r="J710" t="str">
            <v>干燥机PD过滤器滤芯</v>
          </cell>
        </row>
        <row r="711">
          <cell r="E711" t="str">
            <v>5SY61107CC</v>
          </cell>
          <cell r="F711" t="str">
            <v>Прерыватель</v>
          </cell>
          <cell r="G711">
            <v>29.57</v>
          </cell>
          <cell r="J711" t="str">
            <v>BREAKER</v>
          </cell>
        </row>
        <row r="712">
          <cell r="E712" t="str">
            <v>YL10</v>
          </cell>
          <cell r="F712" t="str">
            <v>вентилятор</v>
          </cell>
          <cell r="G712">
            <v>5950.78</v>
          </cell>
          <cell r="J712" t="str">
            <v>提升冷却风机</v>
          </cell>
        </row>
        <row r="713">
          <cell r="E713" t="str">
            <v>YL11B</v>
          </cell>
          <cell r="F713" t="str">
            <v>вентилятор</v>
          </cell>
          <cell r="G713">
            <v>6148.32</v>
          </cell>
          <cell r="J713" t="str">
            <v>推压冷却风机</v>
          </cell>
        </row>
        <row r="714">
          <cell r="E714" t="str">
            <v>YL09B</v>
          </cell>
          <cell r="F714" t="str">
            <v>вентилятор</v>
          </cell>
          <cell r="G714">
            <v>5950.78</v>
          </cell>
          <cell r="J714" t="str">
            <v>回转冷却风机</v>
          </cell>
        </row>
        <row r="715">
          <cell r="E715" t="str">
            <v>NTC9280-450W</v>
          </cell>
          <cell r="F715" t="str">
            <v>прожекторная лампа</v>
          </cell>
          <cell r="G715">
            <v>5555.71</v>
          </cell>
          <cell r="J715" t="str">
            <v>投光灯</v>
          </cell>
        </row>
        <row r="716">
          <cell r="E716" t="str">
            <v>NTC9280-200W</v>
          </cell>
          <cell r="F716" t="str">
            <v>прожекторная лампа</v>
          </cell>
          <cell r="G716">
            <v>3240.97</v>
          </cell>
          <cell r="J716" t="str">
            <v>投光灯</v>
          </cell>
        </row>
        <row r="717">
          <cell r="E717" t="str">
            <v>NFC9186-70W</v>
          </cell>
          <cell r="F717" t="str">
            <v>кузовная лампа</v>
          </cell>
          <cell r="G717">
            <v>1759.45</v>
          </cell>
          <cell r="J717" t="str">
            <v>舱顶灯</v>
          </cell>
        </row>
        <row r="718">
          <cell r="E718" t="str">
            <v>NFE9121A-T1</v>
          </cell>
          <cell r="F718" t="str">
            <v>аварийная лампа</v>
          </cell>
          <cell r="G718">
            <v>1157.3699999999999</v>
          </cell>
          <cell r="J718" t="str">
            <v>应急灯</v>
          </cell>
        </row>
        <row r="719">
          <cell r="E719" t="str">
            <v>1800100</v>
          </cell>
          <cell r="F719" t="str">
            <v>амортизатор</v>
          </cell>
          <cell r="G719">
            <v>185.19</v>
          </cell>
          <cell r="J719" t="str">
            <v>减震器</v>
          </cell>
        </row>
        <row r="720">
          <cell r="E720" t="str">
            <v>KA2072HA2</v>
          </cell>
          <cell r="F720" t="str">
            <v>вентилятор</v>
          </cell>
          <cell r="G720">
            <v>555.57000000000005</v>
          </cell>
          <cell r="J720" t="str">
            <v>加热器风机</v>
          </cell>
        </row>
        <row r="721">
          <cell r="E721" t="str">
            <v>LC1-D65M7C</v>
          </cell>
          <cell r="F721" t="str">
            <v>контактор</v>
          </cell>
          <cell r="G721">
            <v>180</v>
          </cell>
          <cell r="J721" t="str">
            <v>加热器接触器</v>
          </cell>
        </row>
        <row r="722">
          <cell r="E722" t="str">
            <v>HT1110S</v>
          </cell>
          <cell r="F722" t="str">
            <v>Источник непрерывного питания UPS</v>
          </cell>
          <cell r="G722">
            <v>5747.13</v>
          </cell>
          <cell r="J722" t="str">
            <v>连续电源</v>
          </cell>
        </row>
        <row r="723">
          <cell r="E723" t="str">
            <v>K1802.03.21.11</v>
          </cell>
          <cell r="F723" t="str">
            <v>Напорный вал в сборе</v>
          </cell>
          <cell r="G723">
            <v>158200</v>
          </cell>
          <cell r="J723" t="str">
            <v>压力轴</v>
          </cell>
        </row>
        <row r="724">
          <cell r="E724" t="str">
            <v>K1801.03.21.25</v>
          </cell>
          <cell r="F724" t="str">
            <v xml:space="preserve">Втулка </v>
          </cell>
          <cell r="G724">
            <v>11341.38</v>
          </cell>
          <cell r="J724" t="str">
            <v>套筒</v>
          </cell>
        </row>
        <row r="725">
          <cell r="E725" t="str">
            <v>MB195-01</v>
          </cell>
          <cell r="F725" t="str">
            <v>Корпус тормоза</v>
          </cell>
          <cell r="G725">
            <v>4013.25</v>
          </cell>
          <cell r="J725" t="str">
            <v>外壳</v>
          </cell>
        </row>
        <row r="726">
          <cell r="E726" t="str">
            <v>MB195-02</v>
          </cell>
          <cell r="F726" t="str">
            <v>Воздушный цилиндр</v>
          </cell>
          <cell r="G726">
            <v>3971.46</v>
          </cell>
          <cell r="J726" t="str">
            <v>汽缸</v>
          </cell>
        </row>
        <row r="727">
          <cell r="E727" t="str">
            <v>MB195-03</v>
          </cell>
          <cell r="F727" t="str">
            <v>Поршень</v>
          </cell>
          <cell r="G727">
            <v>3279.5</v>
          </cell>
          <cell r="J727" t="str">
            <v>活塞</v>
          </cell>
        </row>
        <row r="728">
          <cell r="E728" t="str">
            <v>MB195-05</v>
          </cell>
          <cell r="F728" t="str">
            <v>Нажимной диск</v>
          </cell>
          <cell r="G728">
            <v>3830.91</v>
          </cell>
          <cell r="J728" t="str">
            <v>压力盘</v>
          </cell>
        </row>
        <row r="729">
          <cell r="E729" t="str">
            <v>MB195-06</v>
          </cell>
          <cell r="F729" t="str">
            <v>Средний диск</v>
          </cell>
          <cell r="G729">
            <v>3718</v>
          </cell>
          <cell r="J729" t="str">
            <v>中间盘</v>
          </cell>
        </row>
        <row r="730">
          <cell r="E730" t="str">
            <v>MB195-07</v>
          </cell>
          <cell r="F730" t="str">
            <v>Износостойкий диск</v>
          </cell>
          <cell r="G730">
            <v>3141.64</v>
          </cell>
          <cell r="J730" t="str">
            <v>耐磨盘</v>
          </cell>
        </row>
        <row r="731">
          <cell r="E731" t="str">
            <v>MB195-08</v>
          </cell>
          <cell r="F731" t="str">
            <v>Прокладочное кольцо</v>
          </cell>
          <cell r="G731">
            <v>145.27000000000001</v>
          </cell>
          <cell r="J731" t="str">
            <v>调整垫</v>
          </cell>
        </row>
        <row r="732">
          <cell r="E732" t="str">
            <v>MB195-09</v>
          </cell>
          <cell r="F732" t="str">
            <v>Винт</v>
          </cell>
          <cell r="G732">
            <v>157.07</v>
          </cell>
          <cell r="J732" t="str">
            <v>导柱</v>
          </cell>
        </row>
        <row r="733">
          <cell r="E733" t="str">
            <v>MB195-10</v>
          </cell>
          <cell r="F733" t="str">
            <v>Гайка</v>
          </cell>
          <cell r="G733">
            <v>14.16</v>
          </cell>
          <cell r="J733" t="str">
            <v>导柱螺母</v>
          </cell>
        </row>
        <row r="734">
          <cell r="E734" t="str">
            <v>MB195-11</v>
          </cell>
          <cell r="F734" t="str">
            <v>Прокладка</v>
          </cell>
          <cell r="G734">
            <v>0.67</v>
          </cell>
          <cell r="J734" t="str">
            <v>垫片</v>
          </cell>
        </row>
        <row r="735">
          <cell r="E735" t="str">
            <v>MB195-12</v>
          </cell>
          <cell r="F735" t="str">
            <v>Штифт</v>
          </cell>
          <cell r="G735">
            <v>0.67</v>
          </cell>
          <cell r="J735" t="str">
            <v>防转销</v>
          </cell>
        </row>
        <row r="736">
          <cell r="E736" t="str">
            <v>MB195-13</v>
          </cell>
          <cell r="F736" t="str">
            <v>Винт</v>
          </cell>
          <cell r="G736">
            <v>5.39</v>
          </cell>
          <cell r="J736" t="str">
            <v>内六角螺钉</v>
          </cell>
        </row>
        <row r="737">
          <cell r="E737" t="str">
            <v>MB195-14</v>
          </cell>
          <cell r="F737" t="str">
            <v>Накладная панель</v>
          </cell>
          <cell r="G737">
            <v>30.33</v>
          </cell>
          <cell r="J737" t="str">
            <v>防尘盖</v>
          </cell>
        </row>
        <row r="738">
          <cell r="E738" t="str">
            <v>MB195-15</v>
          </cell>
          <cell r="F738" t="str">
            <v>Винт</v>
          </cell>
          <cell r="G738">
            <v>0.67</v>
          </cell>
          <cell r="J738" t="str">
            <v>螺钉</v>
          </cell>
        </row>
        <row r="739">
          <cell r="E739" t="str">
            <v>MB195-16</v>
          </cell>
          <cell r="F739" t="str">
            <v>Прокладка</v>
          </cell>
          <cell r="G739">
            <v>0.34</v>
          </cell>
          <cell r="J739" t="str">
            <v>垫片</v>
          </cell>
        </row>
        <row r="740">
          <cell r="E740" t="str">
            <v>MB195-80</v>
          </cell>
          <cell r="F740" t="str">
            <v xml:space="preserve">Ступица </v>
          </cell>
          <cell r="G740">
            <v>4083.7</v>
          </cell>
          <cell r="J740" t="str">
            <v>齿套</v>
          </cell>
        </row>
        <row r="741">
          <cell r="E741" t="str">
            <v>MB223-01</v>
          </cell>
          <cell r="F741" t="str">
            <v>Корпус тормоза</v>
          </cell>
          <cell r="G741">
            <v>3157.82</v>
          </cell>
          <cell r="J741" t="str">
            <v>外壳</v>
          </cell>
        </row>
        <row r="742">
          <cell r="E742" t="str">
            <v>MB223-02</v>
          </cell>
          <cell r="F742" t="str">
            <v>Воздушный цилиндр</v>
          </cell>
          <cell r="G742">
            <v>3153.1</v>
          </cell>
          <cell r="J742" t="str">
            <v>汽缸</v>
          </cell>
        </row>
        <row r="743">
          <cell r="E743" t="str">
            <v>MB223-03</v>
          </cell>
          <cell r="F743" t="str">
            <v>Поршень</v>
          </cell>
          <cell r="G743">
            <v>2363.06</v>
          </cell>
          <cell r="J743" t="str">
            <v>活塞</v>
          </cell>
        </row>
        <row r="744">
          <cell r="E744" t="str">
            <v>MB223-05</v>
          </cell>
          <cell r="F744" t="str">
            <v>Нажимной диск</v>
          </cell>
          <cell r="G744">
            <v>2971.77</v>
          </cell>
          <cell r="J744" t="str">
            <v>压力盘</v>
          </cell>
        </row>
        <row r="745">
          <cell r="E745" t="str">
            <v>MB223-07</v>
          </cell>
          <cell r="F745" t="str">
            <v>Износостойкий диск</v>
          </cell>
          <cell r="G745">
            <v>2889.19</v>
          </cell>
          <cell r="J745" t="str">
            <v>耐磨盘</v>
          </cell>
        </row>
        <row r="746">
          <cell r="E746" t="str">
            <v>MB223-09</v>
          </cell>
          <cell r="F746" t="str">
            <v>Винт</v>
          </cell>
          <cell r="G746">
            <v>115.27</v>
          </cell>
          <cell r="J746" t="str">
            <v>导柱</v>
          </cell>
        </row>
        <row r="747">
          <cell r="E747" t="str">
            <v>MB223-10</v>
          </cell>
          <cell r="F747" t="str">
            <v>Гайка</v>
          </cell>
          <cell r="G747">
            <v>10.79</v>
          </cell>
          <cell r="J747" t="str">
            <v>导柱螺母</v>
          </cell>
        </row>
        <row r="748">
          <cell r="E748" t="str">
            <v>MB223-11</v>
          </cell>
          <cell r="F748" t="str">
            <v>Прокладка</v>
          </cell>
          <cell r="G748">
            <v>0.67</v>
          </cell>
          <cell r="J748" t="str">
            <v>垫片</v>
          </cell>
        </row>
        <row r="749">
          <cell r="E749" t="str">
            <v>MB223-12</v>
          </cell>
          <cell r="F749" t="str">
            <v>Штифт</v>
          </cell>
          <cell r="G749">
            <v>0.67</v>
          </cell>
          <cell r="J749" t="str">
            <v>防转销</v>
          </cell>
        </row>
        <row r="750">
          <cell r="E750" t="str">
            <v>MB223-13</v>
          </cell>
          <cell r="F750" t="str">
            <v>Винт</v>
          </cell>
          <cell r="G750">
            <v>5.39</v>
          </cell>
          <cell r="J750" t="str">
            <v>内六角螺钉</v>
          </cell>
        </row>
        <row r="751">
          <cell r="E751" t="str">
            <v>MB223-14</v>
          </cell>
          <cell r="F751" t="str">
            <v>Накладная панель</v>
          </cell>
          <cell r="G751">
            <v>25.62</v>
          </cell>
          <cell r="J751" t="str">
            <v>防尘盖</v>
          </cell>
        </row>
        <row r="752">
          <cell r="E752" t="str">
            <v>MB223-15</v>
          </cell>
          <cell r="F752" t="str">
            <v>Винт</v>
          </cell>
          <cell r="G752">
            <v>0.67</v>
          </cell>
          <cell r="J752" t="str">
            <v>螺钉</v>
          </cell>
        </row>
        <row r="753">
          <cell r="E753" t="str">
            <v>MB223-16</v>
          </cell>
          <cell r="F753" t="str">
            <v>Прокладка</v>
          </cell>
          <cell r="G753">
            <v>0.34</v>
          </cell>
          <cell r="J753" t="str">
            <v>垫片</v>
          </cell>
        </row>
        <row r="754">
          <cell r="E754" t="str">
            <v>MB223-20</v>
          </cell>
          <cell r="F754" t="str">
            <v>Пружина</v>
          </cell>
          <cell r="G754">
            <v>185.71</v>
          </cell>
          <cell r="J754" t="str">
            <v>主弹簧</v>
          </cell>
        </row>
        <row r="755">
          <cell r="E755" t="str">
            <v>MB224-01</v>
          </cell>
          <cell r="F755" t="str">
            <v>Корпус тормоза</v>
          </cell>
          <cell r="G755">
            <v>3157.82</v>
          </cell>
          <cell r="J755" t="str">
            <v>外壳</v>
          </cell>
        </row>
        <row r="756">
          <cell r="E756" t="str">
            <v>MB224-02</v>
          </cell>
          <cell r="F756" t="str">
            <v>Воздушный цилиндр</v>
          </cell>
          <cell r="G756">
            <v>2970.42</v>
          </cell>
          <cell r="J756" t="str">
            <v>汽缸</v>
          </cell>
        </row>
        <row r="757">
          <cell r="E757" t="str">
            <v>MB224-03</v>
          </cell>
          <cell r="F757" t="str">
            <v>Поршень</v>
          </cell>
          <cell r="G757">
            <v>2363.06</v>
          </cell>
          <cell r="J757" t="str">
            <v>活塞</v>
          </cell>
        </row>
        <row r="758">
          <cell r="E758" t="str">
            <v>MB224-05</v>
          </cell>
          <cell r="F758" t="str">
            <v>Нажимной диск</v>
          </cell>
          <cell r="G758">
            <v>2971.77</v>
          </cell>
          <cell r="J758" t="str">
            <v>压力盘</v>
          </cell>
        </row>
        <row r="759">
          <cell r="E759" t="str">
            <v>MB224-07</v>
          </cell>
          <cell r="F759" t="str">
            <v>Износостойкий диск</v>
          </cell>
          <cell r="G759">
            <v>2889.19</v>
          </cell>
          <cell r="J759" t="str">
            <v>耐磨盘</v>
          </cell>
        </row>
        <row r="760">
          <cell r="E760" t="str">
            <v>MB224-09</v>
          </cell>
          <cell r="F760" t="str">
            <v>Винт</v>
          </cell>
          <cell r="G760">
            <v>115.27</v>
          </cell>
          <cell r="J760" t="str">
            <v>导柱</v>
          </cell>
        </row>
        <row r="761">
          <cell r="E761" t="str">
            <v>MB224-10</v>
          </cell>
          <cell r="F761" t="str">
            <v>Гайка</v>
          </cell>
          <cell r="G761">
            <v>10.79</v>
          </cell>
          <cell r="J761" t="str">
            <v>导柱螺母</v>
          </cell>
        </row>
        <row r="762">
          <cell r="E762" t="str">
            <v>MB224-11</v>
          </cell>
          <cell r="F762" t="str">
            <v>Прокладка</v>
          </cell>
          <cell r="G762">
            <v>0.67</v>
          </cell>
          <cell r="J762" t="str">
            <v>垫片</v>
          </cell>
        </row>
        <row r="763">
          <cell r="E763" t="str">
            <v>MB224-12</v>
          </cell>
          <cell r="F763" t="str">
            <v>Штифт</v>
          </cell>
          <cell r="G763">
            <v>0.67</v>
          </cell>
          <cell r="J763" t="str">
            <v>防转销</v>
          </cell>
        </row>
        <row r="764">
          <cell r="E764" t="str">
            <v>MB224-13</v>
          </cell>
          <cell r="F764" t="str">
            <v>Винт</v>
          </cell>
          <cell r="G764">
            <v>5.39</v>
          </cell>
          <cell r="J764" t="str">
            <v>内六角螺钉</v>
          </cell>
        </row>
        <row r="765">
          <cell r="E765" t="str">
            <v>MB224-14</v>
          </cell>
          <cell r="F765" t="str">
            <v>Накладная панель</v>
          </cell>
          <cell r="G765">
            <v>24.94</v>
          </cell>
          <cell r="J765" t="str">
            <v>防尘盖</v>
          </cell>
        </row>
        <row r="766">
          <cell r="E766" t="str">
            <v>MB224-15</v>
          </cell>
          <cell r="F766" t="str">
            <v>Винт</v>
          </cell>
          <cell r="G766">
            <v>0.67</v>
          </cell>
          <cell r="J766" t="str">
            <v>螺钉</v>
          </cell>
        </row>
        <row r="767">
          <cell r="E767" t="str">
            <v>MB224-16</v>
          </cell>
          <cell r="F767" t="str">
            <v>Прокладка</v>
          </cell>
          <cell r="G767">
            <v>0.34</v>
          </cell>
          <cell r="J767" t="str">
            <v>垫片</v>
          </cell>
        </row>
        <row r="768">
          <cell r="E768" t="str">
            <v>MB224-20</v>
          </cell>
          <cell r="F768" t="str">
            <v>Пружина</v>
          </cell>
          <cell r="G768">
            <v>169.54</v>
          </cell>
          <cell r="J768" t="str">
            <v>主弹簧</v>
          </cell>
        </row>
        <row r="769">
          <cell r="E769" t="str">
            <v>MB224-88</v>
          </cell>
          <cell r="F769" t="str">
            <v>Ступица  в сборе</v>
          </cell>
          <cell r="G769">
            <v>3843.38</v>
          </cell>
          <cell r="J769" t="str">
            <v>齿套总成</v>
          </cell>
        </row>
        <row r="770">
          <cell r="E770" t="str">
            <v>MB224-80</v>
          </cell>
          <cell r="F770" t="str">
            <v xml:space="preserve">Ступица </v>
          </cell>
          <cell r="G770">
            <v>3425.1</v>
          </cell>
          <cell r="J770" t="str">
            <v>齿套</v>
          </cell>
        </row>
        <row r="771">
          <cell r="E771" t="str">
            <v>MB224-81</v>
          </cell>
          <cell r="F771" t="str">
            <v>Поддон</v>
          </cell>
          <cell r="G771">
            <v>209.98</v>
          </cell>
          <cell r="J771" t="str">
            <v>托盘</v>
          </cell>
        </row>
        <row r="772">
          <cell r="E772" t="str">
            <v>MB224-82</v>
          </cell>
          <cell r="F772" t="str">
            <v>Винт</v>
          </cell>
          <cell r="G772">
            <v>16.850000000000001</v>
          </cell>
          <cell r="J772" t="str">
            <v>导柱</v>
          </cell>
        </row>
        <row r="773">
          <cell r="E773" t="str">
            <v>MB224-83</v>
          </cell>
          <cell r="F773" t="str">
            <v>Пружина</v>
          </cell>
          <cell r="G773">
            <v>49.55</v>
          </cell>
          <cell r="J773" t="str">
            <v>弹簧</v>
          </cell>
        </row>
        <row r="774">
          <cell r="E774" t="str">
            <v>MB132-01</v>
          </cell>
          <cell r="F774" t="str">
            <v>Корпус тормоза</v>
          </cell>
          <cell r="G774">
            <v>4114.71</v>
          </cell>
          <cell r="J774" t="str">
            <v>外壳</v>
          </cell>
        </row>
        <row r="775">
          <cell r="E775" t="str">
            <v>MB132-02</v>
          </cell>
          <cell r="F775" t="str">
            <v>Воздушный цилиндр</v>
          </cell>
          <cell r="G775">
            <v>4043.59</v>
          </cell>
          <cell r="J775" t="str">
            <v>气缸</v>
          </cell>
        </row>
        <row r="776">
          <cell r="E776" t="str">
            <v>MB132-03</v>
          </cell>
          <cell r="F776" t="str">
            <v>Поршень</v>
          </cell>
          <cell r="G776">
            <v>3379.94</v>
          </cell>
          <cell r="J776" t="str">
            <v>活塞</v>
          </cell>
        </row>
        <row r="777">
          <cell r="E777" t="str">
            <v>MB132-05</v>
          </cell>
          <cell r="F777" t="str">
            <v>Нажимной диск</v>
          </cell>
          <cell r="G777">
            <v>3763.5</v>
          </cell>
          <cell r="J777" t="str">
            <v>压力盘</v>
          </cell>
        </row>
        <row r="778">
          <cell r="E778" t="str">
            <v>MB132-06</v>
          </cell>
          <cell r="F778" t="str">
            <v>Средний диск</v>
          </cell>
          <cell r="G778">
            <v>3756.09</v>
          </cell>
          <cell r="J778" t="str">
            <v>中间盘</v>
          </cell>
        </row>
        <row r="779">
          <cell r="E779" t="str">
            <v>MB132-07</v>
          </cell>
          <cell r="F779" t="str">
            <v>Износостойкий диск</v>
          </cell>
          <cell r="G779">
            <v>3154.79</v>
          </cell>
          <cell r="J779" t="str">
            <v>耐磨盘</v>
          </cell>
        </row>
        <row r="780">
          <cell r="E780" t="str">
            <v>MB132-08</v>
          </cell>
          <cell r="F780" t="str">
            <v>Прокладочное кольцо</v>
          </cell>
          <cell r="G780">
            <v>145.61000000000001</v>
          </cell>
          <cell r="J780" t="str">
            <v>调整垫</v>
          </cell>
        </row>
        <row r="781">
          <cell r="E781" t="str">
            <v>MB132-09</v>
          </cell>
          <cell r="F781" t="str">
            <v>Винт</v>
          </cell>
          <cell r="G781">
            <v>157.07</v>
          </cell>
          <cell r="J781" t="str">
            <v>导柱</v>
          </cell>
        </row>
        <row r="782">
          <cell r="E782" t="str">
            <v>MB132-10</v>
          </cell>
          <cell r="F782" t="str">
            <v>Гайка</v>
          </cell>
          <cell r="G782">
            <v>15.17</v>
          </cell>
          <cell r="J782" t="str">
            <v>自锁螺母</v>
          </cell>
        </row>
        <row r="783">
          <cell r="E783" t="str">
            <v>MB132-11</v>
          </cell>
          <cell r="F783" t="str">
            <v>Прокладка</v>
          </cell>
          <cell r="G783">
            <v>0.67</v>
          </cell>
          <cell r="J783" t="str">
            <v>垫片</v>
          </cell>
        </row>
        <row r="784">
          <cell r="E784" t="str">
            <v>MB132-12</v>
          </cell>
          <cell r="F784" t="str">
            <v>Штифт</v>
          </cell>
          <cell r="G784">
            <v>0.67</v>
          </cell>
          <cell r="J784" t="str">
            <v>防转销</v>
          </cell>
        </row>
        <row r="785">
          <cell r="E785" t="str">
            <v>MB132-13</v>
          </cell>
          <cell r="F785" t="str">
            <v>Винт</v>
          </cell>
          <cell r="G785">
            <v>5.39</v>
          </cell>
          <cell r="J785" t="str">
            <v>内六角螺钉</v>
          </cell>
        </row>
        <row r="786">
          <cell r="E786" t="str">
            <v>MB132-14</v>
          </cell>
          <cell r="F786" t="str">
            <v>Накладная панель</v>
          </cell>
          <cell r="G786">
            <v>29.66</v>
          </cell>
          <cell r="J786" t="str">
            <v>防尘盖</v>
          </cell>
        </row>
        <row r="787">
          <cell r="E787" t="str">
            <v>MB132-15</v>
          </cell>
          <cell r="F787" t="str">
            <v>Винт</v>
          </cell>
          <cell r="G787">
            <v>0.67</v>
          </cell>
          <cell r="J787" t="str">
            <v>螺钉</v>
          </cell>
        </row>
        <row r="788">
          <cell r="E788" t="str">
            <v>MB132-16</v>
          </cell>
          <cell r="F788" t="str">
            <v>Прокладка</v>
          </cell>
          <cell r="G788">
            <v>0.34</v>
          </cell>
          <cell r="J788" t="str">
            <v>垫片</v>
          </cell>
        </row>
        <row r="789">
          <cell r="E789" t="str">
            <v>MB132-20</v>
          </cell>
          <cell r="F789" t="str">
            <v>Пружина</v>
          </cell>
          <cell r="G789">
            <v>216.39</v>
          </cell>
          <cell r="J789" t="str">
            <v>主弹簧</v>
          </cell>
        </row>
        <row r="790">
          <cell r="E790" t="str">
            <v>MB132-21</v>
          </cell>
          <cell r="F790" t="str">
            <v>Винт</v>
          </cell>
          <cell r="G790">
            <v>9.44</v>
          </cell>
          <cell r="J790" t="str">
            <v>分离导柱</v>
          </cell>
        </row>
        <row r="791">
          <cell r="E791" t="str">
            <v>MB132-22</v>
          </cell>
          <cell r="F791" t="str">
            <v>Пружина</v>
          </cell>
          <cell r="G791">
            <v>20.22</v>
          </cell>
          <cell r="J791" t="str">
            <v>分离弹簧</v>
          </cell>
        </row>
        <row r="792">
          <cell r="E792" t="str">
            <v>MB132-23</v>
          </cell>
          <cell r="F792" t="str">
            <v>Гайка</v>
          </cell>
          <cell r="G792">
            <v>6.07</v>
          </cell>
          <cell r="J792" t="str">
            <v>分离螺帽</v>
          </cell>
        </row>
        <row r="793">
          <cell r="E793" t="str">
            <v>MB132-24</v>
          </cell>
          <cell r="F793" t="str">
            <v>Ориентировочный винт</v>
          </cell>
          <cell r="G793">
            <v>0.67</v>
          </cell>
          <cell r="J793" t="str">
            <v>定位螺丝</v>
          </cell>
        </row>
        <row r="794">
          <cell r="E794" t="str">
            <v>MB132-80</v>
          </cell>
          <cell r="F794" t="str">
            <v xml:space="preserve">Ступица </v>
          </cell>
          <cell r="G794">
            <v>4534.67</v>
          </cell>
          <cell r="J794" t="str">
            <v>齿套</v>
          </cell>
        </row>
        <row r="795">
          <cell r="E795" t="str">
            <v>MB155</v>
          </cell>
          <cell r="F795" t="str">
            <v>Тормоз механизм напора WK-35</v>
          </cell>
          <cell r="G795">
            <v>21227.41</v>
          </cell>
          <cell r="J795" t="str">
            <v>WK35推压制动器</v>
          </cell>
        </row>
        <row r="796">
          <cell r="E796" t="str">
            <v>MB155-01</v>
          </cell>
          <cell r="F796" t="str">
            <v>Корпус тормоза</v>
          </cell>
          <cell r="G796">
            <v>3787.09</v>
          </cell>
          <cell r="J796" t="str">
            <v>外壳</v>
          </cell>
        </row>
        <row r="797">
          <cell r="E797" t="str">
            <v>MB155-02</v>
          </cell>
          <cell r="F797" t="str">
            <v>Воздушный цилиндр</v>
          </cell>
          <cell r="G797">
            <v>4043.59</v>
          </cell>
          <cell r="J797" t="str">
            <v>气缸</v>
          </cell>
        </row>
        <row r="798">
          <cell r="E798" t="str">
            <v>MB155-03</v>
          </cell>
          <cell r="F798" t="str">
            <v>Поршень</v>
          </cell>
          <cell r="G798">
            <v>3363.42</v>
          </cell>
          <cell r="J798" t="str">
            <v>活塞</v>
          </cell>
        </row>
        <row r="799">
          <cell r="E799" t="str">
            <v>MB155-05</v>
          </cell>
          <cell r="F799" t="str">
            <v>Нажимной диск</v>
          </cell>
          <cell r="G799">
            <v>3756.76</v>
          </cell>
          <cell r="J799" t="str">
            <v>压力盘</v>
          </cell>
        </row>
        <row r="800">
          <cell r="E800" t="str">
            <v>MB155-07</v>
          </cell>
          <cell r="F800" t="str">
            <v>Износостойкий диск</v>
          </cell>
          <cell r="G800">
            <v>3201.98</v>
          </cell>
          <cell r="J800" t="str">
            <v>耐磨盘</v>
          </cell>
        </row>
        <row r="801">
          <cell r="E801" t="str">
            <v>MB155-09</v>
          </cell>
          <cell r="F801" t="str">
            <v>Винт</v>
          </cell>
          <cell r="G801">
            <v>142.91</v>
          </cell>
          <cell r="J801" t="str">
            <v>导柱</v>
          </cell>
        </row>
        <row r="802">
          <cell r="E802" t="str">
            <v>MB155-10</v>
          </cell>
          <cell r="F802" t="str">
            <v>Гайка</v>
          </cell>
          <cell r="G802">
            <v>15.17</v>
          </cell>
          <cell r="J802" t="str">
            <v>自锁螺母</v>
          </cell>
        </row>
        <row r="803">
          <cell r="E803" t="str">
            <v>MB155-11</v>
          </cell>
          <cell r="F803" t="str">
            <v>Прокладка</v>
          </cell>
          <cell r="G803">
            <v>0.67</v>
          </cell>
          <cell r="J803" t="str">
            <v>垫片</v>
          </cell>
        </row>
        <row r="804">
          <cell r="E804" t="str">
            <v>MB155-12</v>
          </cell>
          <cell r="F804" t="str">
            <v>Штифт</v>
          </cell>
          <cell r="G804">
            <v>0.67</v>
          </cell>
          <cell r="J804" t="str">
            <v>防转销</v>
          </cell>
        </row>
        <row r="805">
          <cell r="E805" t="str">
            <v>MB155-13</v>
          </cell>
          <cell r="F805" t="str">
            <v>Винт</v>
          </cell>
          <cell r="G805">
            <v>5.39</v>
          </cell>
          <cell r="J805" t="str">
            <v>内六角螺钉</v>
          </cell>
        </row>
        <row r="806">
          <cell r="E806" t="str">
            <v>MB155-14</v>
          </cell>
          <cell r="F806" t="str">
            <v>Накладная панель</v>
          </cell>
          <cell r="G806">
            <v>30.33</v>
          </cell>
          <cell r="J806" t="str">
            <v>防尘盖</v>
          </cell>
        </row>
        <row r="807">
          <cell r="E807" t="str">
            <v>MB155-15</v>
          </cell>
          <cell r="F807" t="str">
            <v>Винт</v>
          </cell>
          <cell r="G807">
            <v>0.67</v>
          </cell>
          <cell r="J807" t="str">
            <v>螺钉</v>
          </cell>
        </row>
        <row r="808">
          <cell r="E808" t="str">
            <v>MB155-16</v>
          </cell>
          <cell r="F808" t="str">
            <v>Прокладка</v>
          </cell>
          <cell r="G808">
            <v>0.34</v>
          </cell>
          <cell r="J808" t="str">
            <v>垫片</v>
          </cell>
        </row>
        <row r="809">
          <cell r="E809" t="str">
            <v>MB155-20</v>
          </cell>
          <cell r="F809" t="str">
            <v>Пружина</v>
          </cell>
          <cell r="G809">
            <v>214.36</v>
          </cell>
          <cell r="J809" t="str">
            <v>主弹簧</v>
          </cell>
        </row>
        <row r="810">
          <cell r="E810" t="str">
            <v>MB155-80</v>
          </cell>
          <cell r="F810" t="str">
            <v xml:space="preserve">Ступица </v>
          </cell>
          <cell r="G810">
            <v>3870.35</v>
          </cell>
          <cell r="J810" t="str">
            <v>齿套</v>
          </cell>
        </row>
        <row r="811">
          <cell r="E811" t="str">
            <v>MB253</v>
          </cell>
          <cell r="F811" t="str">
            <v>Тормоз механизм поворота WK-35</v>
          </cell>
          <cell r="G811">
            <v>20755.54</v>
          </cell>
          <cell r="J811" t="str">
            <v>WK35回转制动器</v>
          </cell>
        </row>
        <row r="812">
          <cell r="E812" t="str">
            <v>MB253-01</v>
          </cell>
          <cell r="F812" t="str">
            <v>Корпус тормоза</v>
          </cell>
          <cell r="G812">
            <v>3319.61</v>
          </cell>
          <cell r="J812" t="str">
            <v>外壳</v>
          </cell>
        </row>
        <row r="813">
          <cell r="E813" t="str">
            <v>MB253-02</v>
          </cell>
          <cell r="F813" t="str">
            <v>Воздушный цилиндр</v>
          </cell>
          <cell r="G813">
            <v>3015.59</v>
          </cell>
          <cell r="J813" t="str">
            <v>气缸</v>
          </cell>
        </row>
        <row r="814">
          <cell r="E814" t="str">
            <v>MB253-03</v>
          </cell>
          <cell r="F814" t="str">
            <v>Поршень</v>
          </cell>
          <cell r="G814">
            <v>2382.27</v>
          </cell>
          <cell r="J814" t="str">
            <v>活塞</v>
          </cell>
        </row>
        <row r="815">
          <cell r="E815" t="str">
            <v>MB253-05</v>
          </cell>
          <cell r="F815" t="str">
            <v>Нажимной диск</v>
          </cell>
          <cell r="G815">
            <v>3080.64</v>
          </cell>
          <cell r="J815" t="str">
            <v>压力盘</v>
          </cell>
        </row>
        <row r="816">
          <cell r="E816" t="str">
            <v>MB253-06</v>
          </cell>
          <cell r="F816" t="str">
            <v>Средний диск</v>
          </cell>
          <cell r="G816">
            <v>3066.14</v>
          </cell>
          <cell r="J816" t="str">
            <v>中间盘</v>
          </cell>
        </row>
        <row r="817">
          <cell r="E817" t="str">
            <v>MB253-07</v>
          </cell>
          <cell r="F817" t="str">
            <v>Износостойкий диск</v>
          </cell>
          <cell r="G817">
            <v>2895.26</v>
          </cell>
          <cell r="J817" t="str">
            <v>耐磨盘</v>
          </cell>
        </row>
        <row r="818">
          <cell r="E818" t="str">
            <v>MB253-08</v>
          </cell>
          <cell r="F818" t="str">
            <v>Прокладочное кольцо</v>
          </cell>
          <cell r="G818">
            <v>106.51</v>
          </cell>
          <cell r="J818" t="str">
            <v>调整垫</v>
          </cell>
        </row>
        <row r="819">
          <cell r="E819" t="str">
            <v>MB253-09</v>
          </cell>
          <cell r="F819" t="str">
            <v>Винт</v>
          </cell>
          <cell r="G819">
            <v>122.69</v>
          </cell>
          <cell r="J819" t="str">
            <v>导柱</v>
          </cell>
        </row>
        <row r="820">
          <cell r="E820" t="str">
            <v>MB253-10</v>
          </cell>
          <cell r="F820" t="str">
            <v>Гайка</v>
          </cell>
          <cell r="G820">
            <v>10.45</v>
          </cell>
          <cell r="J820" t="str">
            <v>自锁螺母</v>
          </cell>
        </row>
        <row r="821">
          <cell r="E821" t="str">
            <v>MB253-11</v>
          </cell>
          <cell r="F821" t="str">
            <v>Прокладка</v>
          </cell>
          <cell r="G821">
            <v>0.67</v>
          </cell>
          <cell r="J821" t="str">
            <v>垫片</v>
          </cell>
        </row>
        <row r="822">
          <cell r="E822" t="str">
            <v>MB253-12</v>
          </cell>
          <cell r="F822" t="str">
            <v>Штифт</v>
          </cell>
          <cell r="G822">
            <v>0.67</v>
          </cell>
          <cell r="J822" t="str">
            <v>防转销</v>
          </cell>
        </row>
        <row r="823">
          <cell r="E823" t="str">
            <v>MB253-13</v>
          </cell>
          <cell r="F823" t="str">
            <v>Винт</v>
          </cell>
          <cell r="G823">
            <v>4.38</v>
          </cell>
          <cell r="J823" t="str">
            <v>内六角螺钉</v>
          </cell>
        </row>
        <row r="824">
          <cell r="E824" t="str">
            <v>MB253-14</v>
          </cell>
          <cell r="F824" t="str">
            <v>Накладная панель</v>
          </cell>
          <cell r="G824">
            <v>21.57</v>
          </cell>
          <cell r="J824" t="str">
            <v>防尘盖</v>
          </cell>
        </row>
        <row r="825">
          <cell r="E825" t="str">
            <v>MB253-15</v>
          </cell>
          <cell r="F825" t="str">
            <v>Винт</v>
          </cell>
          <cell r="G825">
            <v>0.67</v>
          </cell>
          <cell r="J825" t="str">
            <v>螺钉</v>
          </cell>
        </row>
        <row r="826">
          <cell r="E826" t="str">
            <v>MB253-16</v>
          </cell>
          <cell r="F826" t="str">
            <v>Прокладка</v>
          </cell>
          <cell r="G826">
            <v>0.34</v>
          </cell>
          <cell r="J826" t="str">
            <v>垫片</v>
          </cell>
        </row>
        <row r="827">
          <cell r="E827" t="str">
            <v>MB253-20</v>
          </cell>
          <cell r="F827" t="str">
            <v>Пружина</v>
          </cell>
          <cell r="G827">
            <v>182.34</v>
          </cell>
          <cell r="J827" t="str">
            <v>主弹簧</v>
          </cell>
        </row>
        <row r="828">
          <cell r="E828" t="str">
            <v>MB253-21</v>
          </cell>
          <cell r="F828" t="str">
            <v>Пружина</v>
          </cell>
          <cell r="G828">
            <v>19.21</v>
          </cell>
          <cell r="J828" t="str">
            <v>分离弹簧</v>
          </cell>
        </row>
        <row r="829">
          <cell r="E829" t="str">
            <v>MB253-22</v>
          </cell>
          <cell r="F829" t="str">
            <v>Ориентировочный винт</v>
          </cell>
          <cell r="G829">
            <v>0.67</v>
          </cell>
          <cell r="J829" t="str">
            <v>定位螺丝</v>
          </cell>
        </row>
        <row r="830">
          <cell r="E830" t="str">
            <v>MB253-23</v>
          </cell>
          <cell r="F830" t="str">
            <v>Винт</v>
          </cell>
          <cell r="G830">
            <v>8.76</v>
          </cell>
          <cell r="J830" t="str">
            <v>分离导柱</v>
          </cell>
        </row>
        <row r="831">
          <cell r="E831" t="str">
            <v>MB253-24</v>
          </cell>
          <cell r="F831" t="str">
            <v>Гайка</v>
          </cell>
          <cell r="G831">
            <v>5.0599999999999996</v>
          </cell>
          <cell r="J831" t="str">
            <v>分离螺帽</v>
          </cell>
        </row>
        <row r="832">
          <cell r="E832" t="str">
            <v>MB253-25</v>
          </cell>
          <cell r="F832" t="str">
            <v>Гайка</v>
          </cell>
          <cell r="G832">
            <v>5.0599999999999996</v>
          </cell>
          <cell r="J832" t="str">
            <v>分离螺帽</v>
          </cell>
        </row>
        <row r="833">
          <cell r="E833" t="str">
            <v>MB253-88</v>
          </cell>
          <cell r="F833" t="str">
            <v>Ступица  в сборе</v>
          </cell>
          <cell r="G833">
            <v>4264.6899999999996</v>
          </cell>
          <cell r="J833" t="str">
            <v>齿套总成</v>
          </cell>
        </row>
        <row r="834">
          <cell r="E834" t="str">
            <v>MB253-80</v>
          </cell>
          <cell r="F834" t="str">
            <v xml:space="preserve">Ступица </v>
          </cell>
          <cell r="G834">
            <v>3804.62</v>
          </cell>
          <cell r="J834" t="str">
            <v>齿套</v>
          </cell>
        </row>
        <row r="835">
          <cell r="E835" t="str">
            <v>MB253-81</v>
          </cell>
          <cell r="F835" t="str">
            <v>Поддон</v>
          </cell>
          <cell r="G835">
            <v>285.14</v>
          </cell>
          <cell r="J835" t="str">
            <v>托盘</v>
          </cell>
        </row>
        <row r="836">
          <cell r="E836" t="str">
            <v>MB253-82</v>
          </cell>
          <cell r="F836" t="str">
            <v>Винт</v>
          </cell>
          <cell r="G836">
            <v>19.55</v>
          </cell>
          <cell r="J836" t="str">
            <v>导柱</v>
          </cell>
        </row>
        <row r="837">
          <cell r="E837" t="str">
            <v>MB253-83</v>
          </cell>
          <cell r="F837" t="str">
            <v>Пружина</v>
          </cell>
          <cell r="G837">
            <v>55.28</v>
          </cell>
          <cell r="J837" t="str">
            <v>主弹簧</v>
          </cell>
        </row>
        <row r="838">
          <cell r="E838" t="str">
            <v>MB266-01</v>
          </cell>
          <cell r="F838" t="str">
            <v>Корпус тормоза</v>
          </cell>
          <cell r="G838">
            <v>3403.87</v>
          </cell>
          <cell r="J838" t="str">
            <v>外壳</v>
          </cell>
        </row>
        <row r="839">
          <cell r="E839" t="str">
            <v>MB266-02</v>
          </cell>
          <cell r="F839" t="str">
            <v>Воздушный цилиндр</v>
          </cell>
          <cell r="G839">
            <v>3015.59</v>
          </cell>
          <cell r="J839" t="str">
            <v>气缸</v>
          </cell>
        </row>
        <row r="840">
          <cell r="E840" t="str">
            <v>MB266-03</v>
          </cell>
          <cell r="F840" t="str">
            <v>Поршень</v>
          </cell>
          <cell r="G840">
            <v>2382.27</v>
          </cell>
          <cell r="J840" t="str">
            <v>活塞</v>
          </cell>
        </row>
        <row r="841">
          <cell r="E841" t="str">
            <v>MB266-05</v>
          </cell>
          <cell r="F841" t="str">
            <v>Нажимной диск</v>
          </cell>
          <cell r="G841">
            <v>3080.64</v>
          </cell>
          <cell r="J841" t="str">
            <v>压力盘</v>
          </cell>
        </row>
        <row r="842">
          <cell r="E842" t="str">
            <v>MB266-06</v>
          </cell>
          <cell r="F842" t="str">
            <v>Средний диск</v>
          </cell>
          <cell r="G842">
            <v>3066.14</v>
          </cell>
          <cell r="J842" t="str">
            <v>中间盘</v>
          </cell>
        </row>
        <row r="843">
          <cell r="E843" t="str">
            <v>MB266-07</v>
          </cell>
          <cell r="F843" t="str">
            <v>Износостойкий диск</v>
          </cell>
          <cell r="G843">
            <v>2895.26</v>
          </cell>
          <cell r="J843" t="str">
            <v>耐磨盘</v>
          </cell>
        </row>
        <row r="844">
          <cell r="E844" t="str">
            <v>MB266-08</v>
          </cell>
          <cell r="F844" t="str">
            <v>Прокладочное кольцо</v>
          </cell>
          <cell r="G844">
            <v>106.51</v>
          </cell>
          <cell r="J844" t="str">
            <v>调整垫</v>
          </cell>
        </row>
        <row r="845">
          <cell r="E845" t="str">
            <v>MB266-09</v>
          </cell>
          <cell r="F845" t="str">
            <v>Винт</v>
          </cell>
          <cell r="G845">
            <v>122.69</v>
          </cell>
          <cell r="J845" t="str">
            <v>导柱</v>
          </cell>
        </row>
        <row r="846">
          <cell r="E846" t="str">
            <v>MB266-10</v>
          </cell>
          <cell r="F846" t="str">
            <v>Гайка</v>
          </cell>
          <cell r="G846">
            <v>10.45</v>
          </cell>
          <cell r="J846" t="str">
            <v>自锁螺母</v>
          </cell>
        </row>
        <row r="847">
          <cell r="E847" t="str">
            <v>MB266-11</v>
          </cell>
          <cell r="F847" t="str">
            <v>Прокладка</v>
          </cell>
          <cell r="G847">
            <v>0.67</v>
          </cell>
          <cell r="J847" t="str">
            <v>垫片</v>
          </cell>
        </row>
        <row r="848">
          <cell r="E848" t="str">
            <v>MB266-12</v>
          </cell>
          <cell r="F848" t="str">
            <v>Штифт</v>
          </cell>
          <cell r="G848">
            <v>0.67</v>
          </cell>
          <cell r="J848" t="str">
            <v>防转销</v>
          </cell>
        </row>
        <row r="849">
          <cell r="E849" t="str">
            <v>MB266-13</v>
          </cell>
          <cell r="F849" t="str">
            <v>Винт</v>
          </cell>
          <cell r="G849">
            <v>4.38</v>
          </cell>
          <cell r="J849" t="str">
            <v>内六角螺钉</v>
          </cell>
        </row>
        <row r="850">
          <cell r="E850" t="str">
            <v>MB266-14</v>
          </cell>
          <cell r="F850" t="str">
            <v>Накладная панель</v>
          </cell>
          <cell r="G850">
            <v>25.62</v>
          </cell>
          <cell r="J850" t="str">
            <v>防尘盖</v>
          </cell>
        </row>
        <row r="851">
          <cell r="E851" t="str">
            <v>MB266-15</v>
          </cell>
          <cell r="F851" t="str">
            <v>Винт</v>
          </cell>
          <cell r="G851">
            <v>0.67</v>
          </cell>
          <cell r="J851" t="str">
            <v>螺钉</v>
          </cell>
        </row>
        <row r="852">
          <cell r="E852" t="str">
            <v>MB266-16</v>
          </cell>
          <cell r="F852" t="str">
            <v>Прокладка</v>
          </cell>
          <cell r="G852">
            <v>0.34</v>
          </cell>
          <cell r="J852" t="str">
            <v>垫片</v>
          </cell>
        </row>
        <row r="853">
          <cell r="E853" t="str">
            <v>MB266-20</v>
          </cell>
          <cell r="F853" t="str">
            <v>Пружина</v>
          </cell>
          <cell r="G853">
            <v>178.3</v>
          </cell>
          <cell r="J853" t="str">
            <v>主弹簧</v>
          </cell>
        </row>
        <row r="854">
          <cell r="E854" t="str">
            <v>MB266-80</v>
          </cell>
          <cell r="F854" t="str">
            <v xml:space="preserve">Ступица </v>
          </cell>
          <cell r="G854">
            <v>3848.1</v>
          </cell>
          <cell r="J854" t="str">
            <v>齿套</v>
          </cell>
        </row>
        <row r="855">
          <cell r="E855" t="str">
            <v>K1802.01.04.02</v>
          </cell>
          <cell r="F855" t="str">
            <v>Втулка (коромысла)</v>
          </cell>
          <cell r="G855">
            <v>788</v>
          </cell>
          <cell r="J855" t="str">
            <v>套</v>
          </cell>
        </row>
        <row r="856">
          <cell r="E856" t="str">
            <v>K1801.18.05.05</v>
          </cell>
          <cell r="F856" t="str">
            <v>Ось натяжного колеса</v>
          </cell>
          <cell r="G856">
            <v>15601</v>
          </cell>
          <cell r="J856" t="str">
            <v>轮轴</v>
          </cell>
        </row>
        <row r="857">
          <cell r="E857" t="str">
            <v>K1801.18.06.00</v>
          </cell>
          <cell r="F857" t="str">
            <v>Опора гусеничной ленты передняя (передний "башмак")</v>
          </cell>
          <cell r="G857">
            <v>11614</v>
          </cell>
          <cell r="J857" t="str">
            <v>前拖带装置</v>
          </cell>
        </row>
        <row r="858">
          <cell r="E858" t="str">
            <v>K1801.16.03.00</v>
          </cell>
          <cell r="F858" t="str">
            <v>Соединительная муфта</v>
          </cell>
          <cell r="G858">
            <v>6751</v>
          </cell>
          <cell r="J858" t="str">
            <v>行走电机联轴器</v>
          </cell>
        </row>
        <row r="859">
          <cell r="E859" t="str">
            <v>K1701.05.02.07</v>
          </cell>
          <cell r="F859" t="str">
            <v>Подшипник</v>
          </cell>
          <cell r="G859">
            <v>4637</v>
          </cell>
          <cell r="J859" t="str">
            <v>轴承</v>
          </cell>
        </row>
        <row r="860">
          <cell r="E860" t="str">
            <v>K1701.05.02.11</v>
          </cell>
          <cell r="F860" t="str">
            <v>Подшипник</v>
          </cell>
          <cell r="G860">
            <v>4637</v>
          </cell>
          <cell r="J860" t="str">
            <v>轴承</v>
          </cell>
        </row>
        <row r="861">
          <cell r="E861" t="str">
            <v>K1801.05.02.03</v>
          </cell>
          <cell r="F861" t="str">
            <v>Упорная втулка</v>
          </cell>
          <cell r="G861">
            <v>95</v>
          </cell>
          <cell r="J861" t="str">
            <v>隔套</v>
          </cell>
        </row>
        <row r="862">
          <cell r="E862" t="str">
            <v>K1801.05.05.05.00</v>
          </cell>
          <cell r="F862" t="str">
            <v>Дистанционное кольцо</v>
          </cell>
          <cell r="G862">
            <v>1605</v>
          </cell>
          <cell r="J862" t="str">
            <v>隔环</v>
          </cell>
        </row>
        <row r="863">
          <cell r="E863" t="str">
            <v>K1801.05.05.06.00</v>
          </cell>
          <cell r="F863" t="str">
            <v>Масляное уплотнение</v>
          </cell>
          <cell r="G863">
            <v>8513</v>
          </cell>
          <cell r="J863" t="str">
            <v>J型密封圈</v>
          </cell>
        </row>
        <row r="864">
          <cell r="E864" t="str">
            <v>K1601.30.04.01</v>
          </cell>
          <cell r="F864" t="str">
            <v>Втулка (коромысла)</v>
          </cell>
          <cell r="G864">
            <v>1839</v>
          </cell>
          <cell r="J864" t="str">
            <v>套</v>
          </cell>
        </row>
        <row r="865">
          <cell r="E865" t="str">
            <v>K1601.31.02</v>
          </cell>
          <cell r="F865" t="str">
            <v>Палец (соединения днища с ковшом)</v>
          </cell>
          <cell r="G865">
            <v>5444</v>
          </cell>
          <cell r="J865" t="str">
            <v>拉杆销</v>
          </cell>
        </row>
        <row r="866">
          <cell r="E866" t="str">
            <v>K1605.18.05.05</v>
          </cell>
          <cell r="F866" t="str">
            <v>Упорное кольцо</v>
          </cell>
          <cell r="G866">
            <v>1529</v>
          </cell>
          <cell r="J866" t="str">
            <v>垫圈</v>
          </cell>
        </row>
        <row r="867">
          <cell r="E867" t="str">
            <v>K1605.18.05.03</v>
          </cell>
          <cell r="F867" t="str">
            <v>Ось натяжного колеса</v>
          </cell>
          <cell r="G867">
            <v>12317</v>
          </cell>
          <cell r="J867" t="str">
            <v>拉紧轴</v>
          </cell>
        </row>
        <row r="868">
          <cell r="E868" t="str">
            <v>K1605.18.09.00</v>
          </cell>
          <cell r="F868" t="str">
            <v>Опора гусеничной ленты  (башмак)</v>
          </cell>
          <cell r="G868">
            <v>8975</v>
          </cell>
          <cell r="J868" t="str">
            <v>拖带装置</v>
          </cell>
        </row>
        <row r="869">
          <cell r="E869" t="str">
            <v>K1601.03.21.03</v>
          </cell>
          <cell r="F869" t="str">
            <v>Втулка седлового подшипника</v>
          </cell>
          <cell r="G869">
            <v>2041</v>
          </cell>
          <cell r="J869" t="str">
            <v>衬套</v>
          </cell>
        </row>
        <row r="870">
          <cell r="E870" t="str">
            <v>K1609.03.21.06.02</v>
          </cell>
          <cell r="F870" t="str">
            <v>Вкладыш седлового подшипника</v>
          </cell>
          <cell r="G870">
            <v>1163</v>
          </cell>
          <cell r="J870" t="str">
            <v>上滑板</v>
          </cell>
        </row>
        <row r="871">
          <cell r="E871" t="str">
            <v>K1625.03.21.03</v>
          </cell>
          <cell r="F871" t="str">
            <v>Прокладочный лист</v>
          </cell>
          <cell r="G871">
            <v>976</v>
          </cell>
          <cell r="J871" t="str">
            <v>水平滑板</v>
          </cell>
        </row>
        <row r="872">
          <cell r="E872" t="str">
            <v>K1625.03.21.04</v>
          </cell>
          <cell r="F872" t="str">
            <v>Прокладочный лист</v>
          </cell>
          <cell r="G872">
            <v>1886</v>
          </cell>
          <cell r="J872" t="str">
            <v>垫板</v>
          </cell>
        </row>
        <row r="873">
          <cell r="E873" t="str">
            <v>GB/T5783</v>
          </cell>
          <cell r="F873" t="str">
            <v>Болт 42X100</v>
          </cell>
          <cell r="G873">
            <v>21</v>
          </cell>
          <cell r="J873" t="str">
            <v>螺栓M42X100</v>
          </cell>
        </row>
        <row r="874">
          <cell r="E874" t="str">
            <v>K1601.30.04.01.00</v>
          </cell>
          <cell r="F874" t="str">
            <v>Коромысло  ковша (подъёманая балка)</v>
          </cell>
          <cell r="G874">
            <v>98093.38</v>
          </cell>
          <cell r="J874" t="str">
            <v>提梁</v>
          </cell>
        </row>
        <row r="875">
          <cell r="E875" t="str">
            <v>MB195-22</v>
          </cell>
          <cell r="F875" t="str">
            <v xml:space="preserve">Концевой выключатель </v>
          </cell>
          <cell r="G875">
            <v>3979</v>
          </cell>
          <cell r="J875" t="str">
            <v>行程控制装置</v>
          </cell>
        </row>
        <row r="876">
          <cell r="E876" t="str">
            <v>K1601.02.00</v>
          </cell>
          <cell r="F876" t="str">
            <v>Рукоять ковша в сборе</v>
          </cell>
          <cell r="G876">
            <v>430100</v>
          </cell>
          <cell r="J876" t="str">
            <v>斗杆</v>
          </cell>
        </row>
        <row r="877">
          <cell r="E877" t="str">
            <v>K1625.03.21.03A</v>
          </cell>
          <cell r="F877" t="str">
            <v>Лист прокладочный</v>
          </cell>
          <cell r="G877">
            <v>1648.05</v>
          </cell>
          <cell r="J877" t="str">
            <v>水平滑板（加厚）</v>
          </cell>
        </row>
        <row r="878">
          <cell r="E878" t="str">
            <v>GB/T5783 42X100</v>
          </cell>
          <cell r="F878" t="str">
            <v>Болт GB/T5783 42X100</v>
          </cell>
          <cell r="G878">
            <v>21</v>
          </cell>
          <cell r="J878" t="str">
            <v>螺栓</v>
          </cell>
        </row>
        <row r="879">
          <cell r="E879" t="str">
            <v>YJ108A</v>
          </cell>
          <cell r="F879" t="str">
            <v xml:space="preserve">Электродвигатель подъёма 700кВт  </v>
          </cell>
          <cell r="G879">
            <v>214479.03</v>
          </cell>
          <cell r="J879" t="str">
            <v>提升电动机</v>
          </cell>
        </row>
        <row r="880">
          <cell r="E880" t="str">
            <v>YJ109AX1</v>
          </cell>
          <cell r="F880" t="str">
            <v xml:space="preserve">Электродвигатель поворота 400 кВт </v>
          </cell>
          <cell r="G880">
            <v>115500.83</v>
          </cell>
          <cell r="J880" t="str">
            <v>回转电动机</v>
          </cell>
        </row>
        <row r="881">
          <cell r="E881" t="str">
            <v>YJ13L2</v>
          </cell>
          <cell r="F881" t="str">
            <v xml:space="preserve">Электродвигатель напора 400 кВт  </v>
          </cell>
          <cell r="G881">
            <v>137317.26</v>
          </cell>
          <cell r="J881" t="str">
            <v>推压电动机</v>
          </cell>
        </row>
        <row r="882">
          <cell r="E882" t="str">
            <v>K1623.21.03</v>
          </cell>
          <cell r="F882" t="str">
            <v>Правое стекло</v>
          </cell>
          <cell r="G882">
            <v>980</v>
          </cell>
          <cell r="J882" t="str">
            <v>右侧玻璃Правое стекло</v>
          </cell>
        </row>
        <row r="883">
          <cell r="E883" t="str">
            <v>K1623.21.04</v>
          </cell>
          <cell r="F883" t="str">
            <v>Левое стекло</v>
          </cell>
          <cell r="G883">
            <v>550</v>
          </cell>
          <cell r="J883" t="str">
            <v>左侧玻璃Левое стекло</v>
          </cell>
        </row>
        <row r="884">
          <cell r="E884" t="str">
            <v>K1623.21.05</v>
          </cell>
          <cell r="F884" t="str">
            <v>Стекло смотрового окна</v>
          </cell>
          <cell r="G884">
            <v>350</v>
          </cell>
          <cell r="J884" t="str">
            <v>下部视窗玻璃Стекло смотровогоокошка</v>
          </cell>
        </row>
        <row r="885">
          <cell r="E885" t="str">
            <v>K1623.21.06</v>
          </cell>
          <cell r="F885" t="str">
            <v>Стекло двери</v>
          </cell>
          <cell r="G885">
            <v>345</v>
          </cell>
          <cell r="J885" t="str">
            <v>门玻璃Стекло двери</v>
          </cell>
        </row>
        <row r="886">
          <cell r="E886" t="str">
            <v>K1623.21.07</v>
          </cell>
          <cell r="F886" t="str">
            <v>Переднее ветровое стекло</v>
          </cell>
          <cell r="G886">
            <v>1610</v>
          </cell>
          <cell r="J886" t="str">
            <v>前挡风玻璃Переднее ветровое стекло</v>
          </cell>
        </row>
        <row r="887">
          <cell r="E887" t="str">
            <v>K1625.21.03</v>
          </cell>
          <cell r="F887" t="str">
            <v>Правое стекло</v>
          </cell>
          <cell r="G887">
            <v>980</v>
          </cell>
          <cell r="J887" t="str">
            <v>右侧玻璃Правое стекло</v>
          </cell>
        </row>
        <row r="888">
          <cell r="E888" t="str">
            <v>K1625.21.04</v>
          </cell>
          <cell r="F888" t="str">
            <v>Левое стекло</v>
          </cell>
          <cell r="G888">
            <v>550</v>
          </cell>
          <cell r="J888" t="str">
            <v>左侧玻璃Левое стекло</v>
          </cell>
        </row>
        <row r="889">
          <cell r="E889" t="str">
            <v>K1625.21.05</v>
          </cell>
          <cell r="F889" t="str">
            <v>Стекло смотрового окна</v>
          </cell>
          <cell r="G889">
            <v>350</v>
          </cell>
          <cell r="J889" t="str">
            <v>下部视窗玻璃Стекло смотровогоокошка</v>
          </cell>
        </row>
        <row r="890">
          <cell r="E890" t="str">
            <v>K1625.21.06</v>
          </cell>
          <cell r="F890" t="str">
            <v>Стекло двери</v>
          </cell>
          <cell r="G890">
            <v>345</v>
          </cell>
          <cell r="J890" t="str">
            <v>门玻璃Стекло двери</v>
          </cell>
        </row>
        <row r="891">
          <cell r="E891" t="str">
            <v>K1625.21.07</v>
          </cell>
          <cell r="F891" t="str">
            <v>Переднее ветровое стекло</v>
          </cell>
          <cell r="G891">
            <v>1610</v>
          </cell>
          <cell r="J891" t="str">
            <v>前挡风玻璃Переднее ветровое стекло</v>
          </cell>
        </row>
        <row r="892">
          <cell r="E892" t="str">
            <v>K1838.21.01</v>
          </cell>
          <cell r="F892" t="str">
            <v>Переднее ветровое стекло</v>
          </cell>
          <cell r="G892">
            <v>1930</v>
          </cell>
          <cell r="J892" t="str">
            <v>前挡风玻璃 Переднее ветровое стекло</v>
          </cell>
        </row>
        <row r="893">
          <cell r="E893" t="str">
            <v>K1838.21.07</v>
          </cell>
          <cell r="F893" t="str">
            <v>Стекло нижнего оптического люка</v>
          </cell>
          <cell r="G893">
            <v>420</v>
          </cell>
          <cell r="J893" t="str">
            <v>下视窗玻璃 Стекло нижнего оптического люка</v>
          </cell>
        </row>
        <row r="894">
          <cell r="E894" t="str">
            <v>K1838.21.05</v>
          </cell>
          <cell r="F894" t="str">
            <v>Левое стекло I</v>
          </cell>
          <cell r="G894">
            <v>650</v>
          </cell>
          <cell r="J894" t="str">
            <v>左侧玻璃一Левое стекло I</v>
          </cell>
        </row>
        <row r="895">
          <cell r="E895" t="str">
            <v>K1838.21.08</v>
          </cell>
          <cell r="F895" t="str">
            <v>Стекло двери</v>
          </cell>
          <cell r="G895">
            <v>352</v>
          </cell>
          <cell r="J895" t="str">
            <v>门玻璃 Стекло двери</v>
          </cell>
        </row>
        <row r="896">
          <cell r="E896" t="str">
            <v>K1838.21.03</v>
          </cell>
          <cell r="F896" t="str">
            <v>Правое стекло II</v>
          </cell>
          <cell r="G896">
            <v>960</v>
          </cell>
          <cell r="J896" t="str">
            <v>右侧玻璃二 Правое стекло II</v>
          </cell>
        </row>
        <row r="897">
          <cell r="E897" t="str">
            <v>K1838.21.02</v>
          </cell>
          <cell r="F897" t="str">
            <v>Правое стекло I</v>
          </cell>
          <cell r="G897">
            <v>530</v>
          </cell>
          <cell r="J897" t="str">
            <v>右侧玻璃一 Правое стекло I</v>
          </cell>
        </row>
        <row r="898">
          <cell r="E898" t="str">
            <v>K1605.09.01.05</v>
          </cell>
          <cell r="F898" t="str">
            <v>Верхний кольцевой рельс</v>
          </cell>
          <cell r="G898">
            <v>68908</v>
          </cell>
          <cell r="J898" t="str">
            <v>上环轨</v>
          </cell>
        </row>
        <row r="899">
          <cell r="E899" t="str">
            <v>K1605.17.04</v>
          </cell>
          <cell r="F899" t="str">
            <v>Нижний кольцевой рельс</v>
          </cell>
          <cell r="G899">
            <v>91877.64</v>
          </cell>
          <cell r="J899" t="str">
            <v>下环轨</v>
          </cell>
        </row>
        <row r="900">
          <cell r="E900" t="str">
            <v>K1812.09.01</v>
          </cell>
          <cell r="F900" t="str">
            <v>Верхний кольцевой рельс</v>
          </cell>
          <cell r="G900">
            <v>124833</v>
          </cell>
          <cell r="J900" t="str">
            <v>上环轨</v>
          </cell>
        </row>
        <row r="901">
          <cell r="E901" t="str">
            <v>K1812.15.04</v>
          </cell>
          <cell r="F901" t="str">
            <v>Нижний кольцевой рельс</v>
          </cell>
          <cell r="G901">
            <v>124833</v>
          </cell>
          <cell r="J901" t="str">
            <v>下环轨</v>
          </cell>
        </row>
        <row r="902">
          <cell r="E902" t="str">
            <v>K1622.01.01.01.01.00</v>
          </cell>
          <cell r="F902" t="str">
            <v>Режущая часть ковша WK-20</v>
          </cell>
          <cell r="G902">
            <v>81914.040000000008</v>
          </cell>
          <cell r="J902" t="str">
            <v>WK-20斗唇</v>
          </cell>
        </row>
        <row r="903">
          <cell r="E903" t="str">
            <v>K1810.01.01.01.01.00</v>
          </cell>
          <cell r="F903" t="str">
            <v>Режущая часть ковша WK-35</v>
          </cell>
          <cell r="G903">
            <v>100416</v>
          </cell>
          <cell r="J903" t="str">
            <v>WK-35斗唇</v>
          </cell>
        </row>
        <row r="904">
          <cell r="E904" t="str">
            <v>K1626.03.21.00</v>
          </cell>
          <cell r="F904" t="str">
            <v>Напорный вал в сборе</v>
          </cell>
          <cell r="G904">
            <v>319072.75166666665</v>
          </cell>
          <cell r="J904" t="str">
            <v>推压轴装置</v>
          </cell>
        </row>
        <row r="905">
          <cell r="E905" t="str">
            <v>NSX160H</v>
          </cell>
          <cell r="F905" t="str">
            <v>Прерыватель</v>
          </cell>
          <cell r="G905">
            <v>2871.17</v>
          </cell>
          <cell r="J905" t="str">
            <v>塑壳断路器</v>
          </cell>
        </row>
        <row r="906">
          <cell r="E906" t="str">
            <v>K1803.07.02.00</v>
          </cell>
          <cell r="F906" t="str">
            <v>Редуктор поворота</v>
          </cell>
          <cell r="G906">
            <v>243055.31</v>
          </cell>
          <cell r="J906" t="str">
            <v>回转减速机</v>
          </cell>
        </row>
        <row r="907">
          <cell r="E907" t="str">
            <v>DK1626.01.03</v>
          </cell>
          <cell r="F907" t="str">
            <v>Внешний высоковольтный шкаф</v>
          </cell>
          <cell r="G907">
            <v>10488.37</v>
          </cell>
          <cell r="J907" t="str">
            <v xml:space="preserve">外部高压柜 </v>
          </cell>
        </row>
        <row r="908">
          <cell r="E908" t="str">
            <v>DK1626.01.03-KT</v>
          </cell>
          <cell r="F908" t="str">
            <v>Внешний корпус высоковольтного шкафа</v>
          </cell>
          <cell r="G908">
            <v>4952.76</v>
          </cell>
          <cell r="J908" t="str">
            <v>外部高压柜壳体</v>
          </cell>
        </row>
        <row r="909">
          <cell r="E909" t="str">
            <v>K1625.03.21.19</v>
          </cell>
          <cell r="F909" t="str">
            <v>Втулка</v>
          </cell>
          <cell r="G909">
            <v>4835.04</v>
          </cell>
          <cell r="J909" t="str">
            <v>套</v>
          </cell>
        </row>
        <row r="910">
          <cell r="E910" t="str">
            <v>K1818.03.05.00</v>
          </cell>
          <cell r="F910" t="str">
            <v>Канат вантовой системы</v>
          </cell>
          <cell r="G910">
            <v>39450</v>
          </cell>
          <cell r="J910" t="str">
            <v>绷绳</v>
          </cell>
        </row>
        <row r="911">
          <cell r="E911" t="str">
            <v>NU 332 ECM/C4VA301</v>
          </cell>
          <cell r="F911" t="str">
            <v>Подшипник двигателя подъёма</v>
          </cell>
          <cell r="G911">
            <v>4188.8500000000004</v>
          </cell>
          <cell r="J911" t="str">
            <v>马加丹提升电机轴承</v>
          </cell>
        </row>
        <row r="912">
          <cell r="E912" t="str">
            <v>NJ 320 ECM/C4VA301</v>
          </cell>
          <cell r="F912" t="str">
            <v>Подшипник двигателя подъёма</v>
          </cell>
          <cell r="G912">
            <v>1535.21</v>
          </cell>
          <cell r="J912" t="str">
            <v>马加丹提升电机轴承</v>
          </cell>
        </row>
        <row r="913">
          <cell r="E913" t="str">
            <v>K1626.02.00</v>
          </cell>
          <cell r="F913" t="str">
            <v>Рукоять для WK-20</v>
          </cell>
          <cell r="G913">
            <v>467500</v>
          </cell>
          <cell r="J913" t="str">
            <v>wk-20新斗杆</v>
          </cell>
        </row>
        <row r="914">
          <cell r="E914" t="str">
            <v>4.75*5.75*0.5*, 53*2387</v>
          </cell>
          <cell r="F914" t="str">
            <v>Уплотнительное кольцо</v>
          </cell>
          <cell r="G914">
            <v>161</v>
          </cell>
          <cell r="J914" t="str">
            <v>油封</v>
          </cell>
        </row>
        <row r="915">
          <cell r="E915" t="str">
            <v>5.125*Х6.125Х0.5*, 53X2990</v>
          </cell>
          <cell r="F915" t="str">
            <v>Уплотнительное кольцо</v>
          </cell>
          <cell r="G915">
            <v>211</v>
          </cell>
          <cell r="J915" t="str">
            <v>油封</v>
          </cell>
        </row>
        <row r="916">
          <cell r="E916" t="str">
            <v>105X5.7, JB/ZQ4224-86</v>
          </cell>
          <cell r="F916" t="str">
            <v>О-Образное уплотнение</v>
          </cell>
          <cell r="G916">
            <v>2</v>
          </cell>
          <cell r="J916" t="str">
            <v>O型密封圈</v>
          </cell>
        </row>
        <row r="917">
          <cell r="E917" t="str">
            <v>202.57*5.33 NBR70</v>
          </cell>
          <cell r="F917" t="str">
            <v>О-Образное кольцо</v>
          </cell>
          <cell r="G917">
            <v>9</v>
          </cell>
          <cell r="J917" t="str">
            <v>O型圈</v>
          </cell>
        </row>
        <row r="918">
          <cell r="E918" t="str">
            <v>C-G1 1/4", JB/ZQ4521-97</v>
          </cell>
          <cell r="F918" t="str">
            <v>Вентиляционный кожух</v>
          </cell>
          <cell r="G918">
            <v>64</v>
          </cell>
          <cell r="J918" t="str">
            <v>通风罩</v>
          </cell>
        </row>
        <row r="919">
          <cell r="E919" t="str">
            <v>K1601.03.10.02.00</v>
          </cell>
          <cell r="F919" t="str">
            <v>Ролик</v>
          </cell>
          <cell r="G919">
            <v>42685</v>
          </cell>
          <cell r="J919" t="str">
            <v>滑轮组件</v>
          </cell>
        </row>
        <row r="920">
          <cell r="E920" t="str">
            <v>K1625.03.21.11</v>
          </cell>
          <cell r="F920" t="str">
            <v>Напорный вал</v>
          </cell>
          <cell r="G920">
            <v>65370.479999999996</v>
          </cell>
          <cell r="J920" t="str">
            <v>推压轴</v>
          </cell>
        </row>
        <row r="921">
          <cell r="E921" t="str">
            <v>K1602.03.10.00</v>
          </cell>
          <cell r="F921" t="str">
            <v>Головной блок стрелы</v>
          </cell>
          <cell r="G921">
            <v>150679.09999999998</v>
          </cell>
          <cell r="J921" t="str">
            <v>起重臂顶部滑轮</v>
          </cell>
        </row>
        <row r="922">
          <cell r="E922" t="str">
            <v>1SN12-1500/8-8FJX/8-8FJX9</v>
          </cell>
          <cell r="F922" t="str">
            <v>Воздуховод</v>
          </cell>
          <cell r="G922">
            <v>60</v>
          </cell>
          <cell r="J922" t="str">
            <v>胶管总成</v>
          </cell>
        </row>
        <row r="923">
          <cell r="E923" t="str">
            <v>K1601.04.01.01.208</v>
          </cell>
          <cell r="F923" t="str">
            <v>Зубчатое колесо с внутренним зубьями</v>
          </cell>
          <cell r="G923">
            <v>346</v>
          </cell>
          <cell r="J923" t="str">
            <v>内齿轮</v>
          </cell>
        </row>
        <row r="924">
          <cell r="E924" t="str">
            <v>K1623.92.03.02</v>
          </cell>
          <cell r="F924" t="str">
            <v>Воздуховод</v>
          </cell>
          <cell r="G924">
            <v>334</v>
          </cell>
          <cell r="J924" t="str">
            <v>气动胶管总成</v>
          </cell>
        </row>
        <row r="925">
          <cell r="E925" t="str">
            <v>6212-RS</v>
          </cell>
          <cell r="F925" t="str">
            <v>Шариковый подшипник</v>
          </cell>
          <cell r="G925">
            <v>25</v>
          </cell>
          <cell r="J925" t="str">
            <v>滚珠轴承</v>
          </cell>
        </row>
        <row r="926">
          <cell r="E926" t="str">
            <v>GB/T 6170 M36</v>
          </cell>
          <cell r="F926" t="str">
            <v>Гайка</v>
          </cell>
          <cell r="G926">
            <v>5</v>
          </cell>
          <cell r="J926" t="str">
            <v>螺母</v>
          </cell>
        </row>
        <row r="927">
          <cell r="E927" t="str">
            <v>K1626.92.02.01</v>
          </cell>
          <cell r="F927" t="str">
            <v>Рукав</v>
          </cell>
          <cell r="G927">
            <v>8086</v>
          </cell>
          <cell r="J927" t="str">
            <v>软管</v>
          </cell>
        </row>
        <row r="928">
          <cell r="E928" t="str">
            <v>K1601.04.01.01.207</v>
          </cell>
          <cell r="F928" t="str">
            <v>Коуш</v>
          </cell>
          <cell r="G928">
            <v>34</v>
          </cell>
          <cell r="J928" t="str">
            <v>楔套</v>
          </cell>
        </row>
        <row r="929">
          <cell r="E929" t="str">
            <v>K1601.04.03.07</v>
          </cell>
          <cell r="F929" t="str">
            <v>Ролик</v>
          </cell>
          <cell r="G929">
            <v>141</v>
          </cell>
          <cell r="J929" t="str">
            <v>滑轮</v>
          </cell>
        </row>
        <row r="930">
          <cell r="E930" t="str">
            <v>1SN32-3350/20-24FJX/20-24FJX</v>
          </cell>
          <cell r="F930" t="str">
            <v>Воздуховод</v>
          </cell>
          <cell r="G930">
            <v>283</v>
          </cell>
          <cell r="J930" t="str">
            <v>胶管总成</v>
          </cell>
        </row>
        <row r="931">
          <cell r="E931" t="str">
            <v>K1601.30.02.00</v>
          </cell>
          <cell r="F931" t="str">
            <v>Амортизатор</v>
          </cell>
          <cell r="G931">
            <v>17460</v>
          </cell>
          <cell r="J931" t="str">
            <v>缓冲</v>
          </cell>
        </row>
        <row r="932">
          <cell r="E932" t="str">
            <v>K1623.92.02.01</v>
          </cell>
          <cell r="F932" t="str">
            <v>Воздуховод</v>
          </cell>
          <cell r="G932">
            <v>7277</v>
          </cell>
          <cell r="J932" t="str">
            <v>气动胶管总成</v>
          </cell>
        </row>
        <row r="933">
          <cell r="E933" t="str">
            <v>K1601.30.05.00</v>
          </cell>
          <cell r="F933" t="str">
            <v>Кронштейн амортизатора</v>
          </cell>
          <cell r="G933">
            <v>2450</v>
          </cell>
          <cell r="J933" t="str">
            <v>缓冲器底座</v>
          </cell>
        </row>
        <row r="934">
          <cell r="E934" t="str">
            <v>K1601.04.01.01.205</v>
          </cell>
          <cell r="F934" t="str">
            <v>Держатель подшипника</v>
          </cell>
          <cell r="G934">
            <v>244</v>
          </cell>
          <cell r="J934" t="str">
            <v>轴承座</v>
          </cell>
        </row>
        <row r="935">
          <cell r="E935" t="str">
            <v>K1601.04.01.01.203</v>
          </cell>
          <cell r="F935" t="str">
            <v>Барабан</v>
          </cell>
          <cell r="G935">
            <v>183</v>
          </cell>
          <cell r="J935" t="str">
            <v>卷筒</v>
          </cell>
        </row>
        <row r="936">
          <cell r="E936" t="str">
            <v>1SN20-1000/12-12FJX/12-12FJX</v>
          </cell>
          <cell r="F936" t="str">
            <v>Воздуховод</v>
          </cell>
          <cell r="G936">
            <v>61</v>
          </cell>
          <cell r="J936" t="str">
            <v>胶管总成</v>
          </cell>
        </row>
        <row r="937">
          <cell r="E937" t="str">
            <v>GB281-84</v>
          </cell>
          <cell r="F937" t="str">
            <v>Шариковый подшипник</v>
          </cell>
          <cell r="G937">
            <v>63</v>
          </cell>
          <cell r="J937" t="str">
            <v>调心球轴承</v>
          </cell>
        </row>
        <row r="938">
          <cell r="E938" t="str">
            <v>K1626.92.03.02</v>
          </cell>
          <cell r="F938" t="str">
            <v>Воздуховод</v>
          </cell>
          <cell r="G938">
            <v>1415</v>
          </cell>
          <cell r="J938" t="str">
            <v>气动胶管总成</v>
          </cell>
        </row>
        <row r="939">
          <cell r="E939" t="str">
            <v>K1601.04.01.01.14</v>
          </cell>
          <cell r="F939" t="str">
            <v>Тарельчатая пружина</v>
          </cell>
          <cell r="G939">
            <v>5</v>
          </cell>
          <cell r="J939" t="str">
            <v>弹簧帽</v>
          </cell>
        </row>
        <row r="940">
          <cell r="E940" t="str">
            <v>K1601.03.21.15</v>
          </cell>
          <cell r="F940" t="str">
            <v>Регулировочный квадрат</v>
          </cell>
          <cell r="G940">
            <v>1109</v>
          </cell>
          <cell r="J940" t="str">
            <v>调整块</v>
          </cell>
        </row>
        <row r="941">
          <cell r="E941" t="str">
            <v>1SN32-430/20-24FJX/20-24FJX</v>
          </cell>
          <cell r="F941" t="str">
            <v>Воздуховод</v>
          </cell>
          <cell r="G941">
            <v>57</v>
          </cell>
          <cell r="J941" t="str">
            <v>胶管总成</v>
          </cell>
        </row>
        <row r="942">
          <cell r="E942" t="str">
            <v>K1605.18.02.05</v>
          </cell>
          <cell r="F942" t="str">
            <v>Шайба</v>
          </cell>
          <cell r="G942">
            <v>2601</v>
          </cell>
          <cell r="J942" t="str">
            <v>垫圈</v>
          </cell>
        </row>
        <row r="943">
          <cell r="E943" t="str">
            <v>K1605.18.03.01</v>
          </cell>
          <cell r="F943" t="str">
            <v>Опорный каток</v>
          </cell>
          <cell r="G943">
            <v>21306</v>
          </cell>
          <cell r="J943" t="str">
            <v>支轮</v>
          </cell>
        </row>
        <row r="944">
          <cell r="E944" t="str">
            <v>1SN32-590/20-24FJX/20-24FJX</v>
          </cell>
          <cell r="F944" t="str">
            <v>Воздуховод</v>
          </cell>
          <cell r="G944">
            <v>61</v>
          </cell>
          <cell r="J944" t="str">
            <v>胶管总成</v>
          </cell>
        </row>
        <row r="945">
          <cell r="E945" t="str">
            <v>1SN12-550/8-8FJX/8-8FJX9</v>
          </cell>
          <cell r="F945" t="str">
            <v>Воздуховод</v>
          </cell>
          <cell r="G945">
            <v>33</v>
          </cell>
          <cell r="J945" t="str">
            <v>胶管总成</v>
          </cell>
        </row>
        <row r="946">
          <cell r="E946" t="str">
            <v>K1612.04.01.01.06</v>
          </cell>
          <cell r="F946" t="str">
            <v>Муфта механизма открывания ковша</v>
          </cell>
          <cell r="G946">
            <v>94</v>
          </cell>
          <cell r="J946" t="str">
            <v>开斗支座连接套</v>
          </cell>
        </row>
        <row r="947">
          <cell r="E947" t="str">
            <v>K1623.90.02.01</v>
          </cell>
          <cell r="F947" t="str">
            <v>Рукав</v>
          </cell>
          <cell r="G947">
            <v>8086</v>
          </cell>
          <cell r="J947" t="str">
            <v>大臂润滑胶管总成</v>
          </cell>
        </row>
        <row r="948">
          <cell r="E948" t="str">
            <v>1SN25-1600/16-16FJX/16-16FJX</v>
          </cell>
          <cell r="F948" t="str">
            <v>Воздуховод</v>
          </cell>
          <cell r="G948">
            <v>53</v>
          </cell>
          <cell r="J948" t="str">
            <v>胶管总成</v>
          </cell>
        </row>
        <row r="949">
          <cell r="E949" t="str">
            <v>1SN12-1300/8-8FJX/8-8FJX9</v>
          </cell>
          <cell r="F949" t="str">
            <v>Воздуховод</v>
          </cell>
          <cell r="G949">
            <v>49</v>
          </cell>
          <cell r="J949" t="str">
            <v>胶管总成</v>
          </cell>
        </row>
        <row r="950">
          <cell r="E950" t="str">
            <v>K1605.18.02.13</v>
          </cell>
          <cell r="F950" t="str">
            <v>Регулировочные прокладки в сборе</v>
          </cell>
          <cell r="G950">
            <v>1</v>
          </cell>
          <cell r="J950" t="str">
            <v>垫片组</v>
          </cell>
        </row>
        <row r="951">
          <cell r="E951" t="str">
            <v>S2 A 32 Shell</v>
          </cell>
          <cell r="F951" t="str">
            <v xml:space="preserve">Охлаждающая жидкость </v>
          </cell>
          <cell r="G951">
            <v>668</v>
          </cell>
          <cell r="J951" t="str">
            <v>空压机油</v>
          </cell>
        </row>
        <row r="952">
          <cell r="E952" t="str">
            <v>K1605.18.02.04</v>
          </cell>
          <cell r="F952" t="str">
            <v>Втулка подшипника</v>
          </cell>
          <cell r="G952">
            <v>901</v>
          </cell>
          <cell r="J952" t="str">
            <v>轴承套杯</v>
          </cell>
        </row>
        <row r="953">
          <cell r="E953" t="str">
            <v>K1622.90.01.05.00</v>
          </cell>
          <cell r="F953" t="str">
            <v>Реверсивный клапан в сборе 1</v>
          </cell>
          <cell r="G953">
            <v>12937</v>
          </cell>
          <cell r="J953" t="str">
            <v>换向阀组件一</v>
          </cell>
        </row>
        <row r="954">
          <cell r="E954" t="str">
            <v>K1622.90.01.04.00</v>
          </cell>
          <cell r="F954" t="str">
            <v>Реверсивный клапан в сборе 2</v>
          </cell>
          <cell r="G954">
            <v>6455</v>
          </cell>
          <cell r="J954" t="str">
            <v>换向阀组件二</v>
          </cell>
        </row>
        <row r="955">
          <cell r="E955" t="str">
            <v>K1605.18.02.03</v>
          </cell>
          <cell r="F955" t="str">
            <v>Крыша подшипника</v>
          </cell>
          <cell r="G955">
            <v>1213</v>
          </cell>
          <cell r="J955" t="str">
            <v>轴承压盖</v>
          </cell>
        </row>
        <row r="956">
          <cell r="E956" t="str">
            <v>K1605.18.09.02</v>
          </cell>
          <cell r="F956" t="str">
            <v>Палец</v>
          </cell>
          <cell r="G956">
            <v>95</v>
          </cell>
          <cell r="J956" t="str">
            <v>销</v>
          </cell>
        </row>
        <row r="957">
          <cell r="E957" t="str">
            <v>3451300000</v>
          </cell>
          <cell r="F957" t="str">
            <v>Дроссель-клапан</v>
          </cell>
          <cell r="G957">
            <v>1577</v>
          </cell>
          <cell r="J957" t="str">
            <v>节流阀</v>
          </cell>
        </row>
        <row r="958">
          <cell r="E958" t="str">
            <v>1SN20-1200/12-12FJX/12-12FJX</v>
          </cell>
          <cell r="F958" t="str">
            <v>Воздуховод</v>
          </cell>
          <cell r="G958">
            <v>73</v>
          </cell>
          <cell r="J958" t="str">
            <v>胶管总成</v>
          </cell>
        </row>
        <row r="959">
          <cell r="E959" t="str">
            <v>K1605.18.05.01</v>
          </cell>
          <cell r="F959" t="str">
            <v>Натяжное колесо</v>
          </cell>
          <cell r="G959">
            <v>60652</v>
          </cell>
          <cell r="J959" t="str">
            <v>拉紧轮</v>
          </cell>
        </row>
        <row r="960">
          <cell r="E960" t="str">
            <v>K1605.18.09.03</v>
          </cell>
          <cell r="F960" t="str">
            <v>Прокладка</v>
          </cell>
          <cell r="G960">
            <v>17</v>
          </cell>
          <cell r="J960" t="str">
            <v>垫片</v>
          </cell>
        </row>
        <row r="961">
          <cell r="E961" t="str">
            <v>K1605.18.02.02</v>
          </cell>
          <cell r="F961" t="str">
            <v>Ведущий вал</v>
          </cell>
          <cell r="G961">
            <v>43496</v>
          </cell>
          <cell r="J961" t="str">
            <v>驱动轴</v>
          </cell>
        </row>
        <row r="962">
          <cell r="E962" t="str">
            <v>K1605.18.03.03</v>
          </cell>
          <cell r="F962" t="str">
            <v>Вал опорного колеса</v>
          </cell>
          <cell r="G962">
            <v>3437</v>
          </cell>
          <cell r="J962" t="str">
            <v>支轮轴</v>
          </cell>
        </row>
        <row r="963">
          <cell r="E963" t="str">
            <v>K1605.18.01.01</v>
          </cell>
          <cell r="F963" t="str">
            <v>Заднее опорное (напрвляющее) колесо</v>
          </cell>
          <cell r="G963">
            <v>46683</v>
          </cell>
          <cell r="J963" t="str">
            <v>后支轮</v>
          </cell>
        </row>
        <row r="964">
          <cell r="E964" t="str">
            <v>K1601.30.25</v>
          </cell>
          <cell r="F964" t="str">
            <v>Палец (соединения днища с ковшом)</v>
          </cell>
          <cell r="G964">
            <v>1601</v>
          </cell>
          <cell r="J964" t="str">
            <v>拉杆销</v>
          </cell>
        </row>
        <row r="965">
          <cell r="E965" t="str">
            <v>K1605.18.02.08</v>
          </cell>
          <cell r="F965" t="str">
            <v>Подшипник</v>
          </cell>
          <cell r="G965">
            <v>15370</v>
          </cell>
          <cell r="J965" t="str">
            <v>轴承</v>
          </cell>
        </row>
        <row r="966">
          <cell r="E966" t="str">
            <v>1SN20-870/12-12FJX/12-12FJX</v>
          </cell>
          <cell r="F966" t="str">
            <v>Воздуховод</v>
          </cell>
          <cell r="G966">
            <v>55</v>
          </cell>
          <cell r="J966" t="str">
            <v>胶管总成</v>
          </cell>
        </row>
        <row r="967">
          <cell r="E967" t="str">
            <v>JB/ZQ4224 220х5.7</v>
          </cell>
          <cell r="F967" t="str">
            <v>О-Образное уплотнение</v>
          </cell>
          <cell r="G967">
            <v>2</v>
          </cell>
          <cell r="J967" t="str">
            <v>O形密封圈</v>
          </cell>
        </row>
        <row r="968">
          <cell r="E968" t="str">
            <v>K1605.18.02.11</v>
          </cell>
          <cell r="F968" t="str">
            <v>J-Образное уплотнение</v>
          </cell>
          <cell r="G968">
            <v>8005</v>
          </cell>
          <cell r="J968" t="str">
            <v>J形油封</v>
          </cell>
        </row>
        <row r="969">
          <cell r="E969" t="str">
            <v>GB/T882</v>
          </cell>
          <cell r="F969" t="str">
            <v>Палец 30*75</v>
          </cell>
          <cell r="G969">
            <v>1</v>
          </cell>
          <cell r="J969" t="str">
            <v>销轴30*75</v>
          </cell>
        </row>
        <row r="970">
          <cell r="E970" t="str">
            <v>K1623.90.01.01</v>
          </cell>
          <cell r="F970" t="str">
            <v>Воздуховод</v>
          </cell>
          <cell r="G970">
            <v>2103</v>
          </cell>
          <cell r="J970" t="str">
            <v>润滑胶管总成</v>
          </cell>
        </row>
        <row r="971">
          <cell r="E971" t="str">
            <v>K1605.18.02.01</v>
          </cell>
          <cell r="F971" t="str">
            <v>Ведущее колесо</v>
          </cell>
          <cell r="G971">
            <v>65516.880000000005</v>
          </cell>
          <cell r="J971" t="str">
            <v>驱动轮</v>
          </cell>
        </row>
        <row r="972">
          <cell r="E972" t="str">
            <v>K1625.03.21.15</v>
          </cell>
          <cell r="F972" t="str">
            <v>Пружинящее упорное кольцо</v>
          </cell>
          <cell r="G972">
            <v>316</v>
          </cell>
          <cell r="J972" t="str">
            <v>弹性挡圈</v>
          </cell>
        </row>
        <row r="973">
          <cell r="E973" t="str">
            <v>K1622.91.02.00</v>
          </cell>
          <cell r="F973" t="str">
            <v>Датчик давления</v>
          </cell>
          <cell r="G973">
            <v>203</v>
          </cell>
          <cell r="J973" t="str">
            <v>测压装置</v>
          </cell>
        </row>
        <row r="974">
          <cell r="E974" t="str">
            <v>K1601.30.21</v>
          </cell>
          <cell r="F974" t="str">
            <v>Ось (соединения днища с ковшом)</v>
          </cell>
          <cell r="G974">
            <v>2081</v>
          </cell>
          <cell r="J974" t="str">
            <v>拉杆销</v>
          </cell>
        </row>
        <row r="975">
          <cell r="E975" t="str">
            <v>1SN12-430/8-8FJX/8-8FJX9</v>
          </cell>
          <cell r="F975" t="str">
            <v>Воздуховод</v>
          </cell>
          <cell r="G975">
            <v>29</v>
          </cell>
          <cell r="J975" t="str">
            <v>胶管总成</v>
          </cell>
        </row>
        <row r="976">
          <cell r="E976" t="str">
            <v>JB/ZQ4224 215х8.6</v>
          </cell>
          <cell r="F976" t="str">
            <v>О-Образное уплотнение</v>
          </cell>
          <cell r="G976">
            <v>3</v>
          </cell>
          <cell r="J976" t="str">
            <v>O形密封圈</v>
          </cell>
        </row>
        <row r="977">
          <cell r="E977" t="str">
            <v>K1601.03.21.08</v>
          </cell>
          <cell r="F977" t="str">
            <v>Прокладка</v>
          </cell>
          <cell r="G977">
            <v>457</v>
          </cell>
          <cell r="J977" t="str">
            <v>垫片</v>
          </cell>
        </row>
        <row r="978">
          <cell r="E978" t="str">
            <v>K1605.18.02.09</v>
          </cell>
          <cell r="F978" t="str">
            <v>V-Образное уплотнение</v>
          </cell>
          <cell r="G978">
            <v>1139</v>
          </cell>
          <cell r="J978" t="str">
            <v>V形密封圈</v>
          </cell>
        </row>
        <row r="979">
          <cell r="E979" t="str">
            <v>K1605.18.05.04</v>
          </cell>
          <cell r="F979" t="str">
            <v>Подшипник</v>
          </cell>
          <cell r="G979">
            <v>2783</v>
          </cell>
          <cell r="J979" t="str">
            <v>轴承块</v>
          </cell>
        </row>
        <row r="980">
          <cell r="E980" t="str">
            <v>K1612.04.01.01.05</v>
          </cell>
          <cell r="F980" t="str">
            <v>Малая шестерня</v>
          </cell>
          <cell r="G980">
            <v>420</v>
          </cell>
          <cell r="J980" t="str">
            <v>小齿轮</v>
          </cell>
        </row>
        <row r="981">
          <cell r="E981" t="str">
            <v>H01058012/8-8FJX/8-8FJX/8/3500</v>
          </cell>
          <cell r="F981" t="str">
            <v>Воздуховод</v>
          </cell>
          <cell r="G981">
            <v>213</v>
          </cell>
          <cell r="J981" t="str">
            <v>气路胶管</v>
          </cell>
        </row>
        <row r="982">
          <cell r="E982" t="str">
            <v>NA4910.2RS</v>
          </cell>
          <cell r="F982" t="str">
            <v xml:space="preserve">Игольчатый подшипник </v>
          </cell>
          <cell r="G982">
            <v>210</v>
          </cell>
          <cell r="J982" t="str">
            <v>滚针轴承</v>
          </cell>
        </row>
        <row r="983">
          <cell r="E983" t="str">
            <v>K1601.03.21.17</v>
          </cell>
          <cell r="F983" t="str">
            <v>Упорное кольцо</v>
          </cell>
          <cell r="G983">
            <v>2539</v>
          </cell>
          <cell r="J983" t="str">
            <v>止推垫圈</v>
          </cell>
        </row>
        <row r="984">
          <cell r="E984" t="str">
            <v>K1626.24.00</v>
          </cell>
          <cell r="F984" t="str">
            <v>Кабельный барабан</v>
          </cell>
          <cell r="G984">
            <v>89810.400000000009</v>
          </cell>
          <cell r="J984" t="str">
            <v>电缆卷筒</v>
          </cell>
        </row>
        <row r="985">
          <cell r="E985" t="str">
            <v>K1626.05.05.00</v>
          </cell>
          <cell r="F985" t="str">
            <v xml:space="preserve">Установка подъемного барабана </v>
          </cell>
          <cell r="G985">
            <v>494130.16000000003</v>
          </cell>
          <cell r="J985" t="str">
            <v>提升卷筒装置</v>
          </cell>
        </row>
        <row r="986">
          <cell r="E986" t="str">
            <v>30х75 GB/T882</v>
          </cell>
          <cell r="F986" t="str">
            <v xml:space="preserve">Штифт разводной </v>
          </cell>
          <cell r="G986">
            <v>5</v>
          </cell>
          <cell r="J986" t="str">
            <v>活口销子</v>
          </cell>
        </row>
        <row r="987">
          <cell r="E987" t="str">
            <v>K1605.18.01.03</v>
          </cell>
          <cell r="F987" t="str">
            <v>Вал</v>
          </cell>
          <cell r="G987">
            <v>5175</v>
          </cell>
          <cell r="J987" t="str">
            <v>轴套</v>
          </cell>
        </row>
        <row r="988">
          <cell r="E988" t="str">
            <v>K1838.01.01.01.80.00</v>
          </cell>
          <cell r="F988" t="str">
            <v>Передняя стенка ковша (с кромкой) для WK-35</v>
          </cell>
          <cell r="G988">
            <v>430227.46</v>
          </cell>
          <cell r="J988" t="str">
            <v>35斗前壁（含有斗唇）</v>
          </cell>
        </row>
        <row r="989">
          <cell r="E989" t="str">
            <v>K1625.01.01.01.05.00</v>
          </cell>
          <cell r="F989" t="str">
            <v>Передняя стенка ковша (с кромкой) для WK-20</v>
          </cell>
          <cell r="G989">
            <v>301194.15761866671</v>
          </cell>
          <cell r="J989" t="str">
            <v>20斗前壁（含有斗唇）</v>
          </cell>
        </row>
        <row r="990">
          <cell r="E990" t="str">
            <v>K1601.30.01.01.36</v>
          </cell>
          <cell r="F990" t="str">
            <v>Гнездо засова (WK-20 и WK-35)</v>
          </cell>
          <cell r="G990">
            <v>26971.74</v>
          </cell>
          <cell r="J990" t="str">
            <v>WK-20&amp;WK-35斗栓插座</v>
          </cell>
        </row>
        <row r="991">
          <cell r="E991" t="str">
            <v>K1601.03.21.05.105</v>
          </cell>
          <cell r="F991" t="str">
            <v>Боковой вкладыш седлового подшипника（32X254X1143）</v>
          </cell>
          <cell r="G991">
            <v>1835.82</v>
          </cell>
          <cell r="J991" t="str">
            <v>WK-20侧滑板-32X254X1143</v>
          </cell>
        </row>
        <row r="992">
          <cell r="E992" t="str">
            <v>K1801.03.21.12</v>
          </cell>
          <cell r="F992" t="str">
            <v>Малая шестерня напора</v>
          </cell>
          <cell r="G992">
            <v>30447.49</v>
          </cell>
          <cell r="J992" t="str">
            <v>推压小齿轮</v>
          </cell>
        </row>
        <row r="993">
          <cell r="E993" t="str">
            <v>K1801.02.02.00</v>
          </cell>
          <cell r="F993" t="str">
            <v>Зубчатая рейка</v>
          </cell>
          <cell r="G993">
            <v>73097.16</v>
          </cell>
          <cell r="J993" t="str">
            <v>齿条</v>
          </cell>
        </row>
        <row r="994">
          <cell r="E994" t="str">
            <v>K1838.01.01.00</v>
          </cell>
          <cell r="F994" t="str">
            <v>Корпус ковша</v>
          </cell>
          <cell r="G994">
            <v>542439.62</v>
          </cell>
          <cell r="J994" t="str">
            <v>铲斗</v>
          </cell>
        </row>
        <row r="995">
          <cell r="E995" t="str">
            <v>K1801.01.02.00</v>
          </cell>
          <cell r="F995" t="str">
            <v>Амортизатор тормоза днища ковша</v>
          </cell>
          <cell r="G995">
            <v>17622.25</v>
          </cell>
          <cell r="J995" t="str">
            <v>缓冲</v>
          </cell>
        </row>
        <row r="996">
          <cell r="E996" t="str">
            <v>K1820.01.04.00</v>
          </cell>
          <cell r="F996" t="str">
            <v>Подъемная балка</v>
          </cell>
          <cell r="G996">
            <v>104206.02</v>
          </cell>
          <cell r="J996" t="str">
            <v>提梁</v>
          </cell>
        </row>
        <row r="997">
          <cell r="E997" t="str">
            <v>K1801.01.06.00</v>
          </cell>
          <cell r="F997" t="str">
            <v>Проушина крепления амортизатора тормоза днища ковша</v>
          </cell>
          <cell r="G997">
            <v>2315.5700000000002</v>
          </cell>
          <cell r="J997" t="str">
            <v>缓冲器座垫</v>
          </cell>
        </row>
        <row r="998">
          <cell r="E998" t="str">
            <v>K1801.01.03</v>
          </cell>
          <cell r="F998" t="str">
            <v>Стопор штифта ковша</v>
          </cell>
          <cell r="G998">
            <v>52.41</v>
          </cell>
          <cell r="J998" t="str">
            <v>铲斗销轴挡板</v>
          </cell>
        </row>
        <row r="999">
          <cell r="E999" t="str">
            <v>GB/T6178 M30</v>
          </cell>
          <cell r="F999" t="str">
            <v>Гайка M30</v>
          </cell>
          <cell r="G999">
            <v>3.74</v>
          </cell>
          <cell r="J999" t="str">
            <v>开槽螺母M30</v>
          </cell>
        </row>
        <row r="1000">
          <cell r="E1000" t="str">
            <v>TZQ7310.02.00 R3/8</v>
          </cell>
          <cell r="F1000" t="str">
            <v>Масляный штуцер R3/8</v>
          </cell>
          <cell r="G1000">
            <v>6.12</v>
          </cell>
          <cell r="J1000" t="str">
            <v>油嘴R3/8</v>
          </cell>
        </row>
        <row r="1001">
          <cell r="E1001" t="str">
            <v>K1802.01.16</v>
          </cell>
          <cell r="F1001" t="str">
            <v>Шайба</v>
          </cell>
          <cell r="G1001">
            <v>151.88</v>
          </cell>
          <cell r="J1001" t="str">
            <v>垫圈</v>
          </cell>
        </row>
        <row r="1002">
          <cell r="E1002" t="str">
            <v>K1802.01.17</v>
          </cell>
          <cell r="F1002" t="str">
            <v>Шайба</v>
          </cell>
          <cell r="G1002">
            <v>140.31</v>
          </cell>
          <cell r="J1002" t="str">
            <v>垫圈</v>
          </cell>
        </row>
        <row r="1003">
          <cell r="E1003" t="str">
            <v>K1601.30.02.01.00</v>
          </cell>
          <cell r="F1003" t="str">
            <v>Втулка амортизатора тормоза днища ковша</v>
          </cell>
          <cell r="G1003">
            <v>1975.12</v>
          </cell>
          <cell r="J1003" t="str">
            <v>缓冲器套</v>
          </cell>
        </row>
        <row r="1004">
          <cell r="E1004" t="str">
            <v>K1601.30.02.01</v>
          </cell>
          <cell r="F1004" t="str">
            <v>Соединительная планка амортизатора тормоза днища ковша</v>
          </cell>
          <cell r="G1004">
            <v>791.54</v>
          </cell>
          <cell r="J1004" t="str">
            <v>连接板</v>
          </cell>
        </row>
        <row r="1005">
          <cell r="E1005" t="str">
            <v>K1601.30.02.02.00</v>
          </cell>
          <cell r="F1005" t="str">
            <v>Рычаг амортизатора тормоза днища ковша</v>
          </cell>
          <cell r="G1005">
            <v>3051.13</v>
          </cell>
          <cell r="J1005" t="str">
            <v>缓冲器连接板</v>
          </cell>
        </row>
        <row r="1006">
          <cell r="E1006" t="str">
            <v>K1601.30.02.03.00</v>
          </cell>
          <cell r="F1006" t="str">
            <v>Соединительная тяга амортизатора тормоза днища ковша</v>
          </cell>
          <cell r="G1006">
            <v>1243.06</v>
          </cell>
          <cell r="J1006" t="str">
            <v>缓冲器连接板</v>
          </cell>
        </row>
        <row r="1007">
          <cell r="E1007" t="str">
            <v>K1801.01.02.03</v>
          </cell>
          <cell r="F1007" t="str">
            <v>Втулка</v>
          </cell>
          <cell r="G1007">
            <v>899.14</v>
          </cell>
          <cell r="J1007" t="str">
            <v>轴套</v>
          </cell>
        </row>
        <row r="1008">
          <cell r="E1008" t="str">
            <v>K1801.01.02.04.00</v>
          </cell>
          <cell r="F1008" t="str">
            <v>Болт тормоза днища ковша</v>
          </cell>
          <cell r="G1008">
            <v>172.72</v>
          </cell>
          <cell r="J1008" t="str">
            <v>螺柱</v>
          </cell>
        </row>
        <row r="1009">
          <cell r="E1009" t="str">
            <v>JB/ZQ4331 M48</v>
          </cell>
          <cell r="F1009" t="str">
            <v>Гайка М48</v>
          </cell>
          <cell r="G1009">
            <v>8.89</v>
          </cell>
          <cell r="J1009" t="str">
            <v>螺母 M48</v>
          </cell>
        </row>
        <row r="1010">
          <cell r="E1010" t="str">
            <v>K1801.01.02.05</v>
          </cell>
          <cell r="F1010" t="str">
            <v>Штифт тормоза днища ковша</v>
          </cell>
          <cell r="G1010">
            <v>9.14</v>
          </cell>
          <cell r="J1010" t="str">
            <v>销</v>
          </cell>
        </row>
        <row r="1011">
          <cell r="E1011" t="str">
            <v>K1601.30.02.06</v>
          </cell>
          <cell r="F1011" t="str">
            <v>Стопор штифта тормоза днища ковша</v>
          </cell>
          <cell r="G1011">
            <v>12.7</v>
          </cell>
          <cell r="J1011" t="str">
            <v>挡板</v>
          </cell>
        </row>
        <row r="1012">
          <cell r="E1012" t="str">
            <v>K1601.30.02.07</v>
          </cell>
          <cell r="F1012" t="str">
            <v>Болт М12*132</v>
          </cell>
          <cell r="G1012">
            <v>45.72</v>
          </cell>
          <cell r="J1012" t="str">
            <v>螺栓 M12X132</v>
          </cell>
        </row>
        <row r="1013">
          <cell r="E1013" t="str">
            <v>GB/T6178 M12</v>
          </cell>
          <cell r="F1013" t="str">
            <v>Гайка М12</v>
          </cell>
          <cell r="G1013">
            <v>1.52</v>
          </cell>
          <cell r="J1013" t="str">
            <v>螺母 M12</v>
          </cell>
        </row>
        <row r="1014">
          <cell r="E1014" t="str">
            <v>GB/T91 3.2X32</v>
          </cell>
          <cell r="F1014" t="str">
            <v>Шплинт 3,2*32</v>
          </cell>
          <cell r="G1014">
            <v>0.76</v>
          </cell>
          <cell r="J1014" t="str">
            <v>开口销 3.2X32</v>
          </cell>
        </row>
        <row r="1015">
          <cell r="E1015" t="str">
            <v>GB/T91 8X90</v>
          </cell>
          <cell r="F1015" t="str">
            <v>Шплинт 8*90</v>
          </cell>
          <cell r="G1015">
            <v>1.27</v>
          </cell>
          <cell r="J1015" t="str">
            <v>开口销 8X90</v>
          </cell>
        </row>
        <row r="1016">
          <cell r="E1016" t="str">
            <v>GB/T93 12</v>
          </cell>
          <cell r="F1016" t="str">
            <v>Шайба 12</v>
          </cell>
          <cell r="G1016">
            <v>0.76</v>
          </cell>
          <cell r="J1016" t="str">
            <v>垫 12</v>
          </cell>
        </row>
        <row r="1017">
          <cell r="E1017" t="str">
            <v>K1601.30.02.08</v>
          </cell>
          <cell r="F1017" t="str">
            <v>Шайба</v>
          </cell>
          <cell r="G1017">
            <v>40.64</v>
          </cell>
          <cell r="J1017" t="str">
            <v>垫片</v>
          </cell>
        </row>
        <row r="1018">
          <cell r="E1018" t="str">
            <v>K1601.30.02.09</v>
          </cell>
          <cell r="F1018" t="str">
            <v>Распорная втулка</v>
          </cell>
          <cell r="G1018">
            <v>91.44</v>
          </cell>
          <cell r="J1018" t="str">
            <v>隔套</v>
          </cell>
        </row>
        <row r="1019">
          <cell r="E1019" t="str">
            <v>K1801.02.01</v>
          </cell>
          <cell r="F1019" t="str">
            <v>Втулка</v>
          </cell>
          <cell r="G1019">
            <v>1866.86</v>
          </cell>
          <cell r="J1019" t="str">
            <v>套</v>
          </cell>
        </row>
        <row r="1020">
          <cell r="E1020" t="str">
            <v>GB/T5783 М30х80</v>
          </cell>
          <cell r="F1020" t="str">
            <v>Болт М30х80</v>
          </cell>
          <cell r="G1020">
            <v>7.22</v>
          </cell>
          <cell r="J1020" t="str">
            <v>螺栓М30х80</v>
          </cell>
        </row>
        <row r="1021">
          <cell r="E1021" t="str">
            <v>K1803.03.03.00</v>
          </cell>
          <cell r="F1021" t="str">
            <v>Штифт опоры стрелы</v>
          </cell>
          <cell r="G1021">
            <v>5182.16</v>
          </cell>
          <cell r="J1021" t="str">
            <v>起重臂跟脚销</v>
          </cell>
        </row>
        <row r="1022">
          <cell r="E1022" t="str">
            <v>K1801.03.04.00</v>
          </cell>
          <cell r="F1022" t="str">
            <v>Верхний балансировочный блок крепления вантовых канатов</v>
          </cell>
          <cell r="G1022">
            <v>9752.08</v>
          </cell>
          <cell r="J1022" t="str">
            <v>起重臂顶部平衡架</v>
          </cell>
        </row>
        <row r="1023">
          <cell r="E1023" t="str">
            <v>K1812.03.06.00</v>
          </cell>
          <cell r="F1023" t="str">
            <v>Концевой выключатель стрелы</v>
          </cell>
          <cell r="G1023">
            <v>1154.51</v>
          </cell>
          <cell r="J1023" t="str">
            <v>起重臂限位开关</v>
          </cell>
        </row>
        <row r="1024">
          <cell r="E1024" t="str">
            <v>K1618.03.23.00</v>
          </cell>
          <cell r="F1024" t="str">
            <v>Энкодер механизма напора</v>
          </cell>
          <cell r="G1024">
            <v>7600.5</v>
          </cell>
          <cell r="J1024" t="str">
            <v>编码器罩及附件</v>
          </cell>
        </row>
        <row r="1025">
          <cell r="E1025" t="str">
            <v>K1803.03.08.00</v>
          </cell>
          <cell r="F1025" t="str">
            <v>Защитная рамка канатов подъёма</v>
          </cell>
          <cell r="G1025">
            <v>1858.58</v>
          </cell>
          <cell r="J1025" t="str">
            <v>提升绳保护架</v>
          </cell>
        </row>
        <row r="1026">
          <cell r="E1026" t="str">
            <v>K1801.03.09.00</v>
          </cell>
          <cell r="F1026" t="str">
            <v>Нижний блок амортизаторов стрелы</v>
          </cell>
          <cell r="G1026">
            <v>30539.02</v>
          </cell>
          <cell r="J1026" t="str">
            <v>起重臂缓冲器</v>
          </cell>
        </row>
        <row r="1027">
          <cell r="E1027" t="str">
            <v>K1801.03.10.00</v>
          </cell>
          <cell r="F1027" t="str">
            <v>Головной блок</v>
          </cell>
          <cell r="G1027">
            <v>216014.92</v>
          </cell>
          <cell r="J1027" t="str">
            <v>起重臂顶部滑轮</v>
          </cell>
        </row>
        <row r="1028">
          <cell r="E1028" t="str">
            <v>K1801.03.15.00</v>
          </cell>
          <cell r="F1028" t="str">
            <v>Корпус стрелы</v>
          </cell>
          <cell r="G1028">
            <v>561002.43999999994</v>
          </cell>
          <cell r="J1028" t="str">
            <v>起重臂</v>
          </cell>
        </row>
        <row r="1029">
          <cell r="E1029" t="str">
            <v>K1701.03.17.00</v>
          </cell>
          <cell r="F1029" t="str">
            <v>Механизм регулировки натяжения ремней</v>
          </cell>
          <cell r="G1029">
            <v>18318.11</v>
          </cell>
          <cell r="J1029" t="str">
            <v>皮带张紧器</v>
          </cell>
        </row>
        <row r="1030">
          <cell r="E1030" t="str">
            <v>K1801.03.18.00</v>
          </cell>
          <cell r="F1030" t="str">
            <v>Установка вентиляции двигателя напора</v>
          </cell>
          <cell r="G1030">
            <v>1049.55</v>
          </cell>
          <cell r="J1030" t="str">
            <v>推压电机通风装置</v>
          </cell>
        </row>
        <row r="1031">
          <cell r="E1031" t="str">
            <v>K1801.03.19.00</v>
          </cell>
          <cell r="F1031" t="str">
            <v>Кожух ременной передачи</v>
          </cell>
          <cell r="G1031">
            <v>502.91</v>
          </cell>
          <cell r="J1031" t="str">
            <v>推压皮带罩</v>
          </cell>
        </row>
        <row r="1032">
          <cell r="E1032" t="str">
            <v>K1801.03.20.00</v>
          </cell>
          <cell r="F1032" t="str">
            <v>Вторичный вал редуктора напора</v>
          </cell>
          <cell r="G1032">
            <v>99520.92</v>
          </cell>
          <cell r="J1032" t="str">
            <v>第二减速轴装置</v>
          </cell>
        </row>
        <row r="1033">
          <cell r="E1033" t="str">
            <v>K1801.03.23.00</v>
          </cell>
          <cell r="F1033" t="str">
            <v>Верхний буфер стрелы</v>
          </cell>
          <cell r="G1033">
            <v>7523.73</v>
          </cell>
          <cell r="J1033" t="str">
            <v>顶部缓冲器</v>
          </cell>
        </row>
        <row r="1034">
          <cell r="E1034" t="str">
            <v>TZJ72192.2.6.06(6)</v>
          </cell>
          <cell r="F1034" t="str">
            <v>Заводская табличка 500x900</v>
          </cell>
          <cell r="G1034">
            <v>612.24</v>
          </cell>
          <cell r="J1034" t="str">
            <v>铭牌500X900</v>
          </cell>
        </row>
        <row r="1035">
          <cell r="E1035" t="str">
            <v>K1801.03.01.01</v>
          </cell>
          <cell r="F1035" t="str">
            <v>Малая упорная втулка</v>
          </cell>
          <cell r="G1035">
            <v>3268.91</v>
          </cell>
          <cell r="J1035" t="str">
            <v>挡板</v>
          </cell>
        </row>
        <row r="1036">
          <cell r="E1036" t="str">
            <v>K1801.03.01.02</v>
          </cell>
          <cell r="F1036" t="str">
            <v>Большая упорная втулка</v>
          </cell>
          <cell r="G1036">
            <v>1931.17</v>
          </cell>
          <cell r="J1036" t="str">
            <v>挡板</v>
          </cell>
        </row>
        <row r="1037">
          <cell r="E1037" t="str">
            <v>K1801.03.01.03</v>
          </cell>
          <cell r="F1037" t="str">
            <v>Антифрикционная накладка</v>
          </cell>
          <cell r="G1037">
            <v>1878.46</v>
          </cell>
          <cell r="J1037" t="str">
            <v>垫圈</v>
          </cell>
        </row>
        <row r="1038">
          <cell r="E1038" t="str">
            <v>JB/ZQ4446 R3/8</v>
          </cell>
          <cell r="F1038" t="str">
            <v>Штуцер R3/8</v>
          </cell>
          <cell r="G1038">
            <v>7.62</v>
          </cell>
          <cell r="J1038" t="str">
            <v>螺塞 R3/8</v>
          </cell>
        </row>
        <row r="1039">
          <cell r="E1039" t="str">
            <v>JB/T14626</v>
          </cell>
          <cell r="F1039" t="str">
            <v>Угол T90E50 Sch-160</v>
          </cell>
          <cell r="G1039">
            <v>5.03</v>
          </cell>
          <cell r="J1039" t="str">
            <v>弯头T90E50-Sch160Rc2</v>
          </cell>
        </row>
        <row r="1040">
          <cell r="E1040" t="str">
            <v>JB/T6144.3</v>
          </cell>
          <cell r="F1040" t="str">
            <v>Штуцер 50-M64x2(R2)</v>
          </cell>
          <cell r="G1040">
            <v>21.37</v>
          </cell>
          <cell r="J1040" t="str">
            <v>锥接头 50-M64X2(R2)</v>
          </cell>
        </row>
        <row r="1041">
          <cell r="E1041" t="str">
            <v>JB/T6142.1</v>
          </cell>
          <cell r="F1041" t="str">
            <v>Трубка резиновая 51 II-1600</v>
          </cell>
          <cell r="G1041">
            <v>220.31</v>
          </cell>
          <cell r="J1041" t="str">
            <v>胶管总成 51 II-1600</v>
          </cell>
        </row>
        <row r="1042">
          <cell r="E1042" t="str">
            <v>GB3289.31</v>
          </cell>
          <cell r="F1042" t="str">
            <v>Заглушка 65</v>
          </cell>
          <cell r="G1042">
            <v>12.57</v>
          </cell>
          <cell r="J1042" t="str">
            <v>外方管堵 65</v>
          </cell>
        </row>
        <row r="1043">
          <cell r="E1043" t="str">
            <v>K1801.03.01.06</v>
          </cell>
          <cell r="F1043" t="str">
            <v>Уплотнительная прокладка</v>
          </cell>
          <cell r="G1043">
            <v>7.62</v>
          </cell>
          <cell r="J1043" t="str">
            <v>密封垫</v>
          </cell>
        </row>
        <row r="1044">
          <cell r="E1044" t="str">
            <v>GB/T5783 M12x25</v>
          </cell>
          <cell r="F1044" t="str">
            <v>Болт M12x25</v>
          </cell>
          <cell r="G1044">
            <v>1.27</v>
          </cell>
          <cell r="J1044" t="str">
            <v>螺栓 M12x25</v>
          </cell>
        </row>
        <row r="1045">
          <cell r="E1045" t="str">
            <v>JB/ZQ4522 D-M76X2</v>
          </cell>
          <cell r="F1045" t="str">
            <v>Крышка D-M76x2</v>
          </cell>
          <cell r="G1045">
            <v>108.01</v>
          </cell>
          <cell r="J1045" t="str">
            <v>通风罩D-M76X2</v>
          </cell>
        </row>
        <row r="1046">
          <cell r="E1046" t="str">
            <v>K1801.03.01.01.00</v>
          </cell>
          <cell r="F1046" t="str">
            <v>Горловина</v>
          </cell>
          <cell r="G1046">
            <v>148.69</v>
          </cell>
          <cell r="J1046" t="str">
            <v>通气孔盖</v>
          </cell>
        </row>
        <row r="1047">
          <cell r="E1047" t="str">
            <v>K1801.03.01.07</v>
          </cell>
          <cell r="F1047" t="str">
            <v>Пластина-6x387x438</v>
          </cell>
          <cell r="G1047">
            <v>37.72</v>
          </cell>
          <cell r="J1047" t="str">
            <v>-6X387X438</v>
          </cell>
        </row>
        <row r="1048">
          <cell r="E1048" t="str">
            <v>K1801.03.01.08</v>
          </cell>
          <cell r="F1048" t="str">
            <v xml:space="preserve">Уплотнительная прокладка </v>
          </cell>
          <cell r="G1048">
            <v>7.22</v>
          </cell>
          <cell r="J1048" t="str">
            <v>密封垫</v>
          </cell>
        </row>
        <row r="1049">
          <cell r="E1049" t="str">
            <v>K1801.03.01.09</v>
          </cell>
          <cell r="F1049" t="str">
            <v>Пластина-6x203x381</v>
          </cell>
          <cell r="G1049">
            <v>25.15</v>
          </cell>
          <cell r="J1049" t="str">
            <v>-6X203X381</v>
          </cell>
        </row>
        <row r="1050">
          <cell r="E1050" t="str">
            <v>K1801.03.01.11</v>
          </cell>
          <cell r="F1050" t="str">
            <v>Уплотнительная прокладка</v>
          </cell>
          <cell r="G1050">
            <v>7.22</v>
          </cell>
          <cell r="J1050" t="str">
            <v>密封垫</v>
          </cell>
        </row>
        <row r="1051">
          <cell r="E1051" t="str">
            <v>K1801.03.01.12</v>
          </cell>
          <cell r="F1051" t="str">
            <v>Крышка-6x203x229</v>
          </cell>
          <cell r="G1051">
            <v>13.12</v>
          </cell>
          <cell r="J1051" t="str">
            <v>-6X203X229</v>
          </cell>
        </row>
        <row r="1052">
          <cell r="E1052" t="str">
            <v>K1801.03.01.13</v>
          </cell>
          <cell r="F1052" t="str">
            <v>Штифт 25x19</v>
          </cell>
          <cell r="G1052">
            <v>10.06</v>
          </cell>
          <cell r="J1052" t="str">
            <v>销 25X19</v>
          </cell>
        </row>
        <row r="1053">
          <cell r="E1053" t="str">
            <v>K1801.03.01.14</v>
          </cell>
          <cell r="F1053" t="str">
            <v>Штифт 19x19</v>
          </cell>
          <cell r="G1053">
            <v>3.77</v>
          </cell>
          <cell r="J1053" t="str">
            <v>销 19X19</v>
          </cell>
        </row>
        <row r="1054">
          <cell r="E1054" t="str">
            <v>LT-18581</v>
          </cell>
          <cell r="F1054" t="str">
            <v>Прокладка, клей Loctite 18581</v>
          </cell>
          <cell r="G1054">
            <v>72.16</v>
          </cell>
          <cell r="J1054" t="str">
            <v>乐泰胶18581</v>
          </cell>
        </row>
        <row r="1055">
          <cell r="E1055" t="str">
            <v>K1801.03.01.15</v>
          </cell>
          <cell r="F1055" t="str">
            <v>Трубка D50x5-138</v>
          </cell>
          <cell r="G1055">
            <v>55.32</v>
          </cell>
          <cell r="J1055" t="str">
            <v>管 D50X5-138</v>
          </cell>
        </row>
        <row r="1056">
          <cell r="E1056" t="str">
            <v>GB3289.2 40</v>
          </cell>
          <cell r="F1056" t="str">
            <v>Угол 40</v>
          </cell>
          <cell r="G1056">
            <v>13.83</v>
          </cell>
          <cell r="J1056" t="str">
            <v>弯头 40</v>
          </cell>
        </row>
        <row r="1057">
          <cell r="E1057" t="str">
            <v>K1801.03.01.16</v>
          </cell>
          <cell r="F1057" t="str">
            <v>Трубка D50x5-338</v>
          </cell>
          <cell r="G1057">
            <v>70.41</v>
          </cell>
          <cell r="J1057" t="str">
            <v>管 D50X5-338</v>
          </cell>
        </row>
        <row r="1058">
          <cell r="E1058" t="str">
            <v>GB/T14626</v>
          </cell>
          <cell r="F1058" t="str">
            <v>T45E40Sch80Rc1-1/2'</v>
          </cell>
          <cell r="G1058">
            <v>47.78</v>
          </cell>
          <cell r="J1058" t="str">
            <v>T45E40Sch80Rc1-1/2″</v>
          </cell>
        </row>
        <row r="1059">
          <cell r="E1059" t="str">
            <v>YWZ-300-1</v>
          </cell>
          <cell r="F1059" t="str">
            <v>Маслоуказатель YWZ-300</v>
          </cell>
          <cell r="G1059">
            <v>34.82</v>
          </cell>
          <cell r="J1059" t="str">
            <v>油标YWZ-300</v>
          </cell>
        </row>
        <row r="1060">
          <cell r="E1060" t="str">
            <v>K1801.03.01.17</v>
          </cell>
          <cell r="F1060" t="str">
            <v>Штуцер угловой</v>
          </cell>
          <cell r="G1060">
            <v>45.26</v>
          </cell>
          <cell r="J1060" t="str">
            <v>接头</v>
          </cell>
        </row>
        <row r="1061">
          <cell r="E1061" t="str">
            <v>Q11F-16 50</v>
          </cell>
          <cell r="F1061" t="str">
            <v>Вентиль 50</v>
          </cell>
          <cell r="G1061">
            <v>62.54</v>
          </cell>
          <cell r="J1061" t="str">
            <v>旋塞 50</v>
          </cell>
        </row>
        <row r="1062">
          <cell r="E1062" t="str">
            <v>GB3289.26 50</v>
          </cell>
          <cell r="F1062" t="str">
            <v>Штуцер 50</v>
          </cell>
          <cell r="G1062">
            <v>20.12</v>
          </cell>
          <cell r="J1062" t="str">
            <v>内接头 50</v>
          </cell>
        </row>
        <row r="1063">
          <cell r="E1063" t="str">
            <v>K1805.03.01.18</v>
          </cell>
          <cell r="F1063" t="str">
            <v>Крышка</v>
          </cell>
          <cell r="G1063">
            <v>7.65</v>
          </cell>
          <cell r="J1063" t="str">
            <v>盖</v>
          </cell>
        </row>
        <row r="1064">
          <cell r="E1064" t="str">
            <v>JB/ZQ 4609</v>
          </cell>
          <cell r="F1064" t="str">
            <v>Прокладка резиновая 8x7200</v>
          </cell>
          <cell r="G1064">
            <v>24.53</v>
          </cell>
          <cell r="J1064" t="str">
            <v>圆橡胶 8X7200</v>
          </cell>
        </row>
        <row r="1065">
          <cell r="E1065" t="str">
            <v>T-20XD90</v>
          </cell>
          <cell r="F1065" t="str">
            <v>T-20XD90</v>
          </cell>
          <cell r="G1065">
            <v>20.12</v>
          </cell>
          <cell r="J1065" t="str">
            <v>-20XD90</v>
          </cell>
        </row>
        <row r="1066">
          <cell r="E1066" t="str">
            <v>GB/T5783 M8X20</v>
          </cell>
          <cell r="F1066" t="str">
            <v>Болт М8х20</v>
          </cell>
          <cell r="G1066">
            <v>0.89</v>
          </cell>
          <cell r="J1066" t="str">
            <v>螺栓M8X20</v>
          </cell>
        </row>
        <row r="1067">
          <cell r="E1067" t="str">
            <v>GB/T93 8</v>
          </cell>
          <cell r="F1067" t="str">
            <v>Шайба 8</v>
          </cell>
          <cell r="G1067">
            <v>0.76</v>
          </cell>
          <cell r="J1067" t="str">
            <v>垫圈8</v>
          </cell>
        </row>
        <row r="1068">
          <cell r="E1068" t="str">
            <v>K1701.03.02.02.00</v>
          </cell>
          <cell r="F1068" t="str">
            <v>Опора</v>
          </cell>
          <cell r="G1068">
            <v>265.04000000000002</v>
          </cell>
          <cell r="J1068" t="str">
            <v>支座</v>
          </cell>
        </row>
        <row r="1069">
          <cell r="E1069" t="str">
            <v>YG D12x190</v>
          </cell>
          <cell r="F1069" t="str">
            <v>Штифт D12x190</v>
          </cell>
          <cell r="G1069">
            <v>27.66</v>
          </cell>
          <cell r="J1069" t="str">
            <v>圆钢 D12X190</v>
          </cell>
        </row>
        <row r="1070">
          <cell r="E1070" t="str">
            <v>K1701.03.02.01</v>
          </cell>
          <cell r="F1070" t="str">
            <v>Ось опоры</v>
          </cell>
          <cell r="G1070">
            <v>142.13</v>
          </cell>
          <cell r="J1070" t="str">
            <v>销</v>
          </cell>
        </row>
        <row r="1071">
          <cell r="E1071" t="str">
            <v>K1701.03.02.03.00</v>
          </cell>
          <cell r="F1071" t="str">
            <v>Регулирующий рычаг</v>
          </cell>
          <cell r="G1071">
            <v>787.16</v>
          </cell>
          <cell r="J1071" t="str">
            <v>调整杆</v>
          </cell>
        </row>
        <row r="1072">
          <cell r="E1072" t="str">
            <v>K1701.03.02.02</v>
          </cell>
          <cell r="F1072" t="str">
            <v>Хомут</v>
          </cell>
          <cell r="G1072">
            <v>24.05</v>
          </cell>
          <cell r="J1072" t="str">
            <v>管夹</v>
          </cell>
        </row>
        <row r="1073">
          <cell r="E1073" t="str">
            <v>K1701.03.02.08.00</v>
          </cell>
          <cell r="F1073" t="str">
            <v>Чехол</v>
          </cell>
          <cell r="G1073">
            <v>45.92</v>
          </cell>
          <cell r="J1073" t="str">
            <v>罩</v>
          </cell>
        </row>
        <row r="1074">
          <cell r="E1074" t="str">
            <v>K1701.03.02.03</v>
          </cell>
          <cell r="F1074" t="str">
            <v>Шайба</v>
          </cell>
          <cell r="G1074">
            <v>120.7</v>
          </cell>
          <cell r="J1074" t="str">
            <v>垫圈</v>
          </cell>
        </row>
        <row r="1075">
          <cell r="E1075" t="str">
            <v>K1701.03.02.04</v>
          </cell>
          <cell r="F1075" t="str">
            <v>Шайба прокладочная</v>
          </cell>
          <cell r="G1075">
            <v>95.55</v>
          </cell>
          <cell r="J1075" t="str">
            <v>挡圈</v>
          </cell>
        </row>
        <row r="1076">
          <cell r="E1076" t="str">
            <v>K1701.03.02.05.00</v>
          </cell>
          <cell r="F1076" t="str">
            <v>Регулировочная гайка</v>
          </cell>
          <cell r="G1076">
            <v>402.33</v>
          </cell>
          <cell r="J1076" t="str">
            <v>调整螺母</v>
          </cell>
        </row>
        <row r="1077">
          <cell r="E1077" t="str">
            <v>K1701.03.02.06.00</v>
          </cell>
          <cell r="F1077" t="str">
            <v>Контргайка</v>
          </cell>
          <cell r="G1077">
            <v>24.89</v>
          </cell>
          <cell r="J1077" t="str">
            <v>锁紧螺母</v>
          </cell>
        </row>
        <row r="1078">
          <cell r="E1078" t="str">
            <v>K1701.03.02.05</v>
          </cell>
          <cell r="F1078" t="str">
            <v>Палец</v>
          </cell>
          <cell r="G1078">
            <v>279.88</v>
          </cell>
          <cell r="J1078" t="str">
            <v>销</v>
          </cell>
        </row>
        <row r="1079">
          <cell r="E1079" t="str">
            <v>GB/T6170 M36</v>
          </cell>
          <cell r="F1079" t="str">
            <v>Гайка M36</v>
          </cell>
          <cell r="G1079">
            <v>2.41</v>
          </cell>
          <cell r="J1079" t="str">
            <v>螺母 M36</v>
          </cell>
        </row>
        <row r="1080">
          <cell r="E1080" t="str">
            <v>GB/T97.1 M36</v>
          </cell>
          <cell r="F1080" t="str">
            <v>Прокладочная шайба 36</v>
          </cell>
          <cell r="G1080">
            <v>2.41</v>
          </cell>
          <cell r="J1080" t="str">
            <v>平垫圈 M36</v>
          </cell>
        </row>
        <row r="1081">
          <cell r="E1081" t="str">
            <v>K1701.03.02.06</v>
          </cell>
          <cell r="F1081" t="str">
            <v>Регулировочная планка</v>
          </cell>
          <cell r="G1081">
            <v>27.66</v>
          </cell>
          <cell r="J1081" t="str">
            <v>调整板</v>
          </cell>
        </row>
        <row r="1082">
          <cell r="E1082" t="str">
            <v>K1701.03.02.07</v>
          </cell>
          <cell r="F1082" t="str">
            <v>Регулировочная планка</v>
          </cell>
          <cell r="G1082">
            <v>27.66</v>
          </cell>
          <cell r="J1082" t="str">
            <v>调整板</v>
          </cell>
        </row>
        <row r="1083">
          <cell r="E1083" t="str">
            <v>K1701.03.02.07.00</v>
          </cell>
          <cell r="F1083" t="str">
            <v>Опора двигателя напора</v>
          </cell>
          <cell r="G1083">
            <v>16827.8</v>
          </cell>
          <cell r="J1083" t="str">
            <v>推压电机支座</v>
          </cell>
        </row>
        <row r="1084">
          <cell r="E1084" t="str">
            <v>K1701.03.02.08</v>
          </cell>
          <cell r="F1084" t="str">
            <v>Трубка смазки D18x3x360</v>
          </cell>
          <cell r="G1084">
            <v>45.26</v>
          </cell>
          <cell r="J1084" t="str">
            <v>管 D18X3X360</v>
          </cell>
        </row>
        <row r="1085">
          <cell r="E1085" t="str">
            <v>K1801.03.02.01</v>
          </cell>
          <cell r="F1085" t="str">
            <v>Регулировочная прокладка</v>
          </cell>
          <cell r="G1085">
            <v>40.24</v>
          </cell>
          <cell r="J1085" t="str">
            <v>调整垫</v>
          </cell>
        </row>
        <row r="1086">
          <cell r="E1086" t="str">
            <v>K1803.03.03.01</v>
          </cell>
          <cell r="F1086" t="str">
            <v>Палец стрелы</v>
          </cell>
          <cell r="G1086">
            <v>5333.89</v>
          </cell>
          <cell r="J1086" t="str">
            <v>轴销</v>
          </cell>
        </row>
        <row r="1087">
          <cell r="E1087" t="str">
            <v>K1803.03.03.02</v>
          </cell>
          <cell r="F1087" t="str">
            <v>Шайба</v>
          </cell>
          <cell r="G1087">
            <v>400.32</v>
          </cell>
          <cell r="J1087" t="str">
            <v>垫圈</v>
          </cell>
        </row>
        <row r="1088">
          <cell r="E1088" t="str">
            <v>K1803.03.03.03</v>
          </cell>
          <cell r="F1088" t="str">
            <v>Прокладка 4</v>
          </cell>
          <cell r="G1088">
            <v>40.64</v>
          </cell>
          <cell r="J1088" t="str">
            <v>垫片 4</v>
          </cell>
        </row>
        <row r="1089">
          <cell r="E1089" t="str">
            <v>K1803.03.03.04</v>
          </cell>
          <cell r="F1089" t="str">
            <v>Прокладка 2</v>
          </cell>
          <cell r="G1089">
            <v>22.86</v>
          </cell>
          <cell r="J1089" t="str">
            <v>垫片 2</v>
          </cell>
        </row>
        <row r="1090">
          <cell r="E1090" t="str">
            <v>K1803.03.03.05</v>
          </cell>
          <cell r="F1090" t="str">
            <v>Прокладка 1.5</v>
          </cell>
          <cell r="G1090">
            <v>15.24</v>
          </cell>
          <cell r="J1090" t="str">
            <v>垫片 1.5</v>
          </cell>
        </row>
        <row r="1091">
          <cell r="E1091" t="str">
            <v>GB/T5783 M10X30</v>
          </cell>
          <cell r="F1091" t="str">
            <v>Болт М10х30</v>
          </cell>
          <cell r="G1091">
            <v>3.05</v>
          </cell>
          <cell r="J1091" t="str">
            <v>螺栓 M10X30</v>
          </cell>
        </row>
        <row r="1092">
          <cell r="E1092" t="str">
            <v>GB/T6170 M10</v>
          </cell>
          <cell r="F1092" t="str">
            <v>Гайка M10</v>
          </cell>
          <cell r="G1092">
            <v>1.52</v>
          </cell>
          <cell r="J1092" t="str">
            <v>螺母 M10</v>
          </cell>
        </row>
        <row r="1093">
          <cell r="E1093" t="str">
            <v>K1803.03.03.01.00</v>
          </cell>
          <cell r="F1093" t="str">
            <v>Хомут стопорный</v>
          </cell>
          <cell r="G1093">
            <v>259</v>
          </cell>
          <cell r="J1093" t="str">
            <v>卡箍</v>
          </cell>
        </row>
        <row r="1094">
          <cell r="E1094" t="str">
            <v>K1801.03.04.01.00</v>
          </cell>
          <cell r="F1094" t="str">
            <v>Штифт балансировочного блока вантовых канатов</v>
          </cell>
          <cell r="G1094">
            <v>1137.01</v>
          </cell>
          <cell r="J1094" t="str">
            <v>平衡销</v>
          </cell>
        </row>
        <row r="1095">
          <cell r="E1095" t="str">
            <v>K1801.03.04.02.00</v>
          </cell>
          <cell r="F1095" t="str">
            <v>Балансировочная планка</v>
          </cell>
          <cell r="G1095">
            <v>7730.28</v>
          </cell>
          <cell r="J1095" t="str">
            <v>托架</v>
          </cell>
        </row>
        <row r="1096">
          <cell r="E1096" t="str">
            <v>K1801.03.04.01</v>
          </cell>
          <cell r="F1096" t="str">
            <v>Стопорная плита штифта балансировочного блока вантовых канатов 24х76х216</v>
          </cell>
          <cell r="G1096">
            <v>21.37</v>
          </cell>
          <cell r="J1096" t="str">
            <v>-24X76-216</v>
          </cell>
        </row>
        <row r="1097">
          <cell r="E1097" t="str">
            <v>K1801.03.04.02</v>
          </cell>
          <cell r="F1097" t="str">
            <v>Кронштейн</v>
          </cell>
          <cell r="G1097">
            <v>39.36</v>
          </cell>
          <cell r="J1097" t="str">
            <v>槽钢</v>
          </cell>
        </row>
        <row r="1098">
          <cell r="E1098" t="str">
            <v>K1801.03.04.04</v>
          </cell>
          <cell r="F1098" t="str">
            <v>Болт</v>
          </cell>
          <cell r="G1098">
            <v>191.11</v>
          </cell>
          <cell r="J1098" t="str">
            <v>螺栓</v>
          </cell>
        </row>
        <row r="1099">
          <cell r="E1099" t="str">
            <v>K1801.03.04.05</v>
          </cell>
          <cell r="F1099" t="str">
            <v>Штифт 16х229</v>
          </cell>
          <cell r="G1099">
            <v>38.26</v>
          </cell>
          <cell r="J1099" t="str">
            <v>销 16X229</v>
          </cell>
        </row>
        <row r="1100">
          <cell r="E1100" t="str">
            <v>GB/T 93 30</v>
          </cell>
          <cell r="F1100" t="str">
            <v>Шайба 30</v>
          </cell>
          <cell r="G1100">
            <v>1.27</v>
          </cell>
          <cell r="J1100" t="str">
            <v>垫圈 30</v>
          </cell>
        </row>
        <row r="1101">
          <cell r="E1101" t="str">
            <v>GB/T 6170 M30</v>
          </cell>
          <cell r="F1101" t="str">
            <v>Гайка M30</v>
          </cell>
          <cell r="G1101">
            <v>2.54</v>
          </cell>
          <cell r="J1101" t="str">
            <v>螺母 M30</v>
          </cell>
        </row>
        <row r="1102">
          <cell r="E1102" t="str">
            <v>GB/T 91 5X26</v>
          </cell>
          <cell r="F1102" t="str">
            <v>Штифт 5x26</v>
          </cell>
          <cell r="G1102">
            <v>1.27</v>
          </cell>
          <cell r="J1102" t="str">
            <v>销 5X26</v>
          </cell>
        </row>
        <row r="1103">
          <cell r="E1103" t="str">
            <v>GB95 16</v>
          </cell>
          <cell r="F1103" t="str">
            <v>Гайка 16</v>
          </cell>
          <cell r="G1103">
            <v>0.76</v>
          </cell>
          <cell r="J1103" t="str">
            <v>垫圈 16</v>
          </cell>
        </row>
        <row r="1104">
          <cell r="E1104" t="str">
            <v>K1801.03.06.01.00</v>
          </cell>
          <cell r="F1104" t="str">
            <v>Кронштейн штока</v>
          </cell>
          <cell r="G1104">
            <v>33.130000000000003</v>
          </cell>
          <cell r="J1104" t="str">
            <v>托架</v>
          </cell>
        </row>
        <row r="1105">
          <cell r="E1105" t="str">
            <v>K1812.03.06.02.00</v>
          </cell>
          <cell r="F1105" t="str">
            <v>Корпус выключателя</v>
          </cell>
          <cell r="G1105">
            <v>85.27</v>
          </cell>
          <cell r="J1105" t="str">
            <v>限位开关罩</v>
          </cell>
        </row>
        <row r="1106">
          <cell r="E1106" t="str">
            <v>K1801.03.06.03.00</v>
          </cell>
          <cell r="F1106" t="str">
            <v>Кронштейн</v>
          </cell>
          <cell r="G1106">
            <v>121.47</v>
          </cell>
          <cell r="J1106" t="str">
            <v>托架</v>
          </cell>
        </row>
        <row r="1107">
          <cell r="E1107" t="str">
            <v>K1812.03.06.04.00</v>
          </cell>
          <cell r="F1107" t="str">
            <v>Кронштейн крепления концевого выключателя стрелы</v>
          </cell>
          <cell r="G1107">
            <v>185.85</v>
          </cell>
          <cell r="J1107" t="str">
            <v>开关托架</v>
          </cell>
        </row>
        <row r="1108">
          <cell r="E1108" t="str">
            <v>K1801.03.06.01</v>
          </cell>
          <cell r="F1108" t="str">
            <v>Регулировочная тяга концевого выключателя стрелы</v>
          </cell>
          <cell r="G1108">
            <v>10.94</v>
          </cell>
          <cell r="J1108" t="str">
            <v>安装板</v>
          </cell>
        </row>
        <row r="1109">
          <cell r="E1109" t="str">
            <v>K1801.03.06.02</v>
          </cell>
          <cell r="F1109" t="str">
            <v>Кронштейн регулировочного вала концевого выключателя стрелы</v>
          </cell>
          <cell r="G1109">
            <v>21.86</v>
          </cell>
          <cell r="J1109" t="str">
            <v>安装板</v>
          </cell>
        </row>
        <row r="1110">
          <cell r="E1110" t="str">
            <v>K1801.03.06.03</v>
          </cell>
          <cell r="F1110" t="str">
            <v>Шток</v>
          </cell>
          <cell r="G1110">
            <v>91.84</v>
          </cell>
          <cell r="J1110" t="str">
            <v>柱塞</v>
          </cell>
        </row>
        <row r="1111">
          <cell r="E1111" t="str">
            <v>K1801.03.06.05</v>
          </cell>
          <cell r="F1111" t="str">
            <v>Подвижный щиток</v>
          </cell>
          <cell r="G1111">
            <v>48.1</v>
          </cell>
          <cell r="J1111" t="str">
            <v>移动板</v>
          </cell>
        </row>
        <row r="1112">
          <cell r="E1112" t="str">
            <v>K1801.03.06.06</v>
          </cell>
          <cell r="F1112" t="str">
            <v>S-образное кольцо</v>
          </cell>
          <cell r="G1112">
            <v>4.41</v>
          </cell>
          <cell r="J1112" t="str">
            <v>S型环</v>
          </cell>
        </row>
        <row r="1113">
          <cell r="E1113" t="str">
            <v>K1801.03.06.08</v>
          </cell>
          <cell r="F1113" t="str">
            <v>Ролик</v>
          </cell>
          <cell r="G1113">
            <v>13.12</v>
          </cell>
          <cell r="J1113" t="str">
            <v>辊轮</v>
          </cell>
        </row>
        <row r="1114">
          <cell r="E1114" t="str">
            <v>GB882 10X45</v>
          </cell>
          <cell r="F1114" t="str">
            <v>Ось 10x45</v>
          </cell>
          <cell r="G1114">
            <v>3.01</v>
          </cell>
          <cell r="J1114" t="str">
            <v>B型销轴10X45</v>
          </cell>
        </row>
        <row r="1115">
          <cell r="E1115" t="str">
            <v>K1801.03.08.01</v>
          </cell>
          <cell r="F1115" t="str">
            <v>Кронштейн-12x279x438</v>
          </cell>
          <cell r="G1115">
            <v>34.99</v>
          </cell>
          <cell r="J1115" t="str">
            <v>托架-12x279x438</v>
          </cell>
        </row>
        <row r="1116">
          <cell r="E1116" t="str">
            <v>K1803.03.08.02</v>
          </cell>
          <cell r="F1116" t="str">
            <v>Опора</v>
          </cell>
          <cell r="G1116">
            <v>210.57</v>
          </cell>
          <cell r="J1116" t="str">
            <v>垫板</v>
          </cell>
        </row>
        <row r="1117">
          <cell r="E1117" t="str">
            <v>K1803.03.08.01.00</v>
          </cell>
          <cell r="F1117" t="str">
            <v>Стойка</v>
          </cell>
          <cell r="G1117">
            <v>538.99</v>
          </cell>
          <cell r="J1117" t="str">
            <v>托架</v>
          </cell>
        </row>
        <row r="1118">
          <cell r="E1118" t="str">
            <v>K1801.03.08.02.00</v>
          </cell>
          <cell r="F1118" t="str">
            <v>Растяжка</v>
          </cell>
          <cell r="G1118">
            <v>89.65</v>
          </cell>
          <cell r="J1118" t="str">
            <v>拉杆</v>
          </cell>
        </row>
        <row r="1119">
          <cell r="E1119" t="str">
            <v>K1801.03.08.03.00</v>
          </cell>
          <cell r="F1119" t="str">
            <v>Кронштейн</v>
          </cell>
          <cell r="G1119">
            <v>170.11</v>
          </cell>
          <cell r="J1119" t="str">
            <v>托座</v>
          </cell>
        </row>
        <row r="1120">
          <cell r="E1120" t="str">
            <v>K1803.03.08.03</v>
          </cell>
          <cell r="F1120" t="str">
            <v>Опора 2</v>
          </cell>
          <cell r="G1120">
            <v>34.99</v>
          </cell>
          <cell r="J1120" t="str">
            <v>垫板2</v>
          </cell>
        </row>
        <row r="1121">
          <cell r="E1121" t="str">
            <v>K1803.03.08.04</v>
          </cell>
          <cell r="F1121" t="str">
            <v>Крышка опоры 1</v>
          </cell>
          <cell r="G1121">
            <v>13.12</v>
          </cell>
          <cell r="J1121" t="str">
            <v>压盖1</v>
          </cell>
        </row>
        <row r="1122">
          <cell r="E1122" t="str">
            <v>K1803.03.08.05</v>
          </cell>
          <cell r="F1122" t="str">
            <v>Крышка опоры 2</v>
          </cell>
          <cell r="G1122">
            <v>32.799999999999997</v>
          </cell>
          <cell r="J1122" t="str">
            <v>压盖2</v>
          </cell>
        </row>
        <row r="1123">
          <cell r="E1123" t="str">
            <v>K1803.03.08.05.00</v>
          </cell>
          <cell r="F1123" t="str">
            <v>Подвижный рычаг</v>
          </cell>
          <cell r="G1123">
            <v>601.30999999999995</v>
          </cell>
          <cell r="J1123" t="str">
            <v>活动杆</v>
          </cell>
        </row>
        <row r="1124">
          <cell r="E1124" t="str">
            <v>K1801.03.09.01.00</v>
          </cell>
          <cell r="F1124" t="str">
            <v>Корпус буфера</v>
          </cell>
          <cell r="G1124">
            <v>6231.71</v>
          </cell>
          <cell r="J1124" t="str">
            <v>支架</v>
          </cell>
        </row>
        <row r="1125">
          <cell r="E1125" t="str">
            <v>JB/ZQ4335 50</v>
          </cell>
          <cell r="F1125" t="str">
            <v>Шайба 50</v>
          </cell>
          <cell r="G1125">
            <v>2.5099999999999998</v>
          </cell>
          <cell r="J1125" t="str">
            <v>垫圈 50</v>
          </cell>
        </row>
        <row r="1126">
          <cell r="E1126" t="str">
            <v>GB/T91 12X80</v>
          </cell>
          <cell r="F1126" t="str">
            <v>Шплинт 12x80</v>
          </cell>
          <cell r="G1126">
            <v>1.51</v>
          </cell>
          <cell r="J1126" t="str">
            <v>销12X80</v>
          </cell>
        </row>
        <row r="1127">
          <cell r="E1127" t="str">
            <v>K1701.03.10.01.00</v>
          </cell>
          <cell r="F1127" t="str">
            <v>Верхний ролик (шкив головных)</v>
          </cell>
          <cell r="G1127">
            <v>66362.899999999994</v>
          </cell>
          <cell r="J1127" t="str">
            <v>顶部滑轮</v>
          </cell>
        </row>
        <row r="1128">
          <cell r="E1128" t="str">
            <v>K1701.03.10.01</v>
          </cell>
          <cell r="F1128" t="str">
            <v>Манжета</v>
          </cell>
          <cell r="G1128">
            <v>631.66999999999996</v>
          </cell>
          <cell r="J1128" t="str">
            <v>保持架</v>
          </cell>
        </row>
        <row r="1129">
          <cell r="E1129" t="str">
            <v>K1801.03.10.01.00</v>
          </cell>
          <cell r="F1129" t="str">
            <v>Подшипник</v>
          </cell>
          <cell r="G1129">
            <v>15333.94</v>
          </cell>
          <cell r="J1129" t="str">
            <v>轴承</v>
          </cell>
        </row>
        <row r="1130">
          <cell r="E1130" t="str">
            <v>K1801.03.10.01</v>
          </cell>
          <cell r="F1130" t="str">
            <v>Вал</v>
          </cell>
          <cell r="G1130">
            <v>17041.39</v>
          </cell>
          <cell r="J1130" t="str">
            <v>滑轮轴</v>
          </cell>
        </row>
        <row r="1131">
          <cell r="E1131" t="str">
            <v>K1701.03.10.04</v>
          </cell>
          <cell r="F1131" t="str">
            <v>Втулка</v>
          </cell>
          <cell r="G1131">
            <v>993.89</v>
          </cell>
          <cell r="J1131" t="str">
            <v>衬套</v>
          </cell>
        </row>
        <row r="1132">
          <cell r="E1132" t="str">
            <v>K1701.03.10.02.00</v>
          </cell>
          <cell r="F1132" t="str">
            <v>Хомут</v>
          </cell>
          <cell r="G1132">
            <v>1639.92</v>
          </cell>
          <cell r="J1132" t="str">
            <v>螺母卡箍</v>
          </cell>
        </row>
        <row r="1133">
          <cell r="E1133" t="str">
            <v>K1701.03.10.05</v>
          </cell>
          <cell r="F1133" t="str">
            <v>Фиксатор</v>
          </cell>
          <cell r="G1133">
            <v>126.82</v>
          </cell>
          <cell r="J1133" t="str">
            <v>轴端挡板</v>
          </cell>
        </row>
        <row r="1134">
          <cell r="E1134" t="str">
            <v>GB/T32.1 M24X80</v>
          </cell>
          <cell r="F1134" t="str">
            <v>Болт М24х80</v>
          </cell>
          <cell r="G1134">
            <v>6.35</v>
          </cell>
          <cell r="J1134" t="str">
            <v>螺栓M24X80</v>
          </cell>
        </row>
        <row r="1135">
          <cell r="E1135" t="str">
            <v>TS-D3X610</v>
          </cell>
          <cell r="F1135" t="str">
            <v>Проволока D3х610</v>
          </cell>
          <cell r="G1135">
            <v>2.54</v>
          </cell>
          <cell r="J1135" t="str">
            <v>铁丝D3X610</v>
          </cell>
        </row>
        <row r="1136">
          <cell r="E1136" t="str">
            <v>K1801.03.10.02</v>
          </cell>
          <cell r="F1136" t="str">
            <v>Упор</v>
          </cell>
          <cell r="G1136">
            <v>26.5</v>
          </cell>
          <cell r="J1136" t="str">
            <v>挡板</v>
          </cell>
        </row>
        <row r="1137">
          <cell r="E1137" t="str">
            <v>K1701.03.11.06</v>
          </cell>
          <cell r="F1137" t="str">
            <v xml:space="preserve">Уплотнительная прокладка </v>
          </cell>
          <cell r="G1137">
            <v>4.75</v>
          </cell>
          <cell r="J1137" t="str">
            <v>密封垫</v>
          </cell>
        </row>
        <row r="1138">
          <cell r="E1138" t="str">
            <v>K1701.03.11.07</v>
          </cell>
          <cell r="F1138" t="str">
            <v xml:space="preserve">О-образное уплотнительное кольцо </v>
          </cell>
          <cell r="G1138">
            <v>17.809999999999999</v>
          </cell>
          <cell r="J1138" t="str">
            <v>O形密封环</v>
          </cell>
        </row>
        <row r="1139">
          <cell r="E1139" t="str">
            <v>K1701.03.11.08</v>
          </cell>
          <cell r="F1139" t="str">
            <v xml:space="preserve">Подшипник </v>
          </cell>
          <cell r="G1139">
            <v>8452.2900000000009</v>
          </cell>
          <cell r="J1139" t="str">
            <v>轴承</v>
          </cell>
        </row>
        <row r="1140">
          <cell r="E1140" t="str">
            <v>K1701.03.11.11</v>
          </cell>
          <cell r="F1140" t="str">
            <v xml:space="preserve">Первичный вал </v>
          </cell>
          <cell r="G1140">
            <v>5508.26</v>
          </cell>
          <cell r="J1140" t="str">
            <v>主动轴</v>
          </cell>
        </row>
        <row r="1141">
          <cell r="E1141" t="str">
            <v>K1701.03.11.12</v>
          </cell>
          <cell r="F1141" t="str">
            <v xml:space="preserve">Подшипник </v>
          </cell>
          <cell r="G1141">
            <v>3910.37</v>
          </cell>
          <cell r="J1141" t="str">
            <v>轴承</v>
          </cell>
        </row>
        <row r="1142">
          <cell r="E1142" t="str">
            <v>K1701.03.11.14</v>
          </cell>
          <cell r="F1142" t="str">
            <v xml:space="preserve">Уплотнительная прокладка </v>
          </cell>
          <cell r="G1142">
            <v>8.31</v>
          </cell>
          <cell r="J1142" t="str">
            <v>密封垫</v>
          </cell>
        </row>
        <row r="1143">
          <cell r="E1143" t="str">
            <v>K1701.03.11.16</v>
          </cell>
          <cell r="F1143" t="str">
            <v xml:space="preserve">Манжета </v>
          </cell>
          <cell r="G1143">
            <v>264.48</v>
          </cell>
          <cell r="J1143" t="str">
            <v>油封</v>
          </cell>
        </row>
        <row r="1144">
          <cell r="E1144" t="str">
            <v>K1701.03.11.17</v>
          </cell>
          <cell r="F1144" t="str">
            <v xml:space="preserve">Манжета </v>
          </cell>
          <cell r="G1144">
            <v>246.85</v>
          </cell>
          <cell r="J1144" t="str">
            <v>油封</v>
          </cell>
        </row>
        <row r="1145">
          <cell r="E1145" t="str">
            <v>K1801.03.15.01.00</v>
          </cell>
          <cell r="F1145" t="str">
            <v>Корпус стрелы</v>
          </cell>
          <cell r="G1145">
            <v>538115.78</v>
          </cell>
          <cell r="J1145" t="str">
            <v>起重臂本体</v>
          </cell>
        </row>
        <row r="1146">
          <cell r="E1146" t="str">
            <v>K1801.03.15.02.00</v>
          </cell>
          <cell r="F1146" t="str">
            <v>Крышка редуктора</v>
          </cell>
          <cell r="G1146">
            <v>23724.23</v>
          </cell>
          <cell r="J1146" t="str">
            <v>减速器盖</v>
          </cell>
        </row>
        <row r="1147">
          <cell r="E1147" t="str">
            <v>K1801.03.15.01</v>
          </cell>
          <cell r="F1147" t="str">
            <v>Втулка</v>
          </cell>
          <cell r="G1147">
            <v>1137.9000000000001</v>
          </cell>
          <cell r="J1147" t="str">
            <v>衬套</v>
          </cell>
        </row>
        <row r="1148">
          <cell r="E1148" t="str">
            <v>K1801.03.15.02</v>
          </cell>
          <cell r="F1148" t="str">
            <v xml:space="preserve">Втулка </v>
          </cell>
          <cell r="G1148">
            <v>711.19</v>
          </cell>
          <cell r="J1148" t="str">
            <v>衬套</v>
          </cell>
        </row>
        <row r="1149">
          <cell r="E1149" t="str">
            <v>K1801.03.15.03</v>
          </cell>
          <cell r="F1149" t="str">
            <v>Шпилька M42x3x440</v>
          </cell>
          <cell r="G1149">
            <v>170.99</v>
          </cell>
          <cell r="J1149" t="str">
            <v>双头螺柱 M42X3X440</v>
          </cell>
        </row>
        <row r="1150">
          <cell r="E1150" t="str">
            <v>K1801.03.15.04</v>
          </cell>
          <cell r="F1150" t="str">
            <v>Гайка М42хЗ</v>
          </cell>
          <cell r="G1150">
            <v>130.25</v>
          </cell>
          <cell r="J1150" t="str">
            <v>螺帽М42хЗ</v>
          </cell>
        </row>
        <row r="1151">
          <cell r="E1151" t="str">
            <v>K1801.03.15.05</v>
          </cell>
          <cell r="F1151" t="str">
            <v>Гайка М42хЗ</v>
          </cell>
          <cell r="G1151">
            <v>144.59</v>
          </cell>
          <cell r="J1151" t="str">
            <v>开槽螺母 M42X3</v>
          </cell>
        </row>
        <row r="1152">
          <cell r="E1152" t="str">
            <v>K1801.03.15.06</v>
          </cell>
          <cell r="F1152" t="str">
            <v>ШпилькаМ42хЗх275</v>
          </cell>
          <cell r="G1152">
            <v>169.73</v>
          </cell>
          <cell r="J1152" t="str">
            <v>双头螺柱 M42X3X275</v>
          </cell>
        </row>
        <row r="1153">
          <cell r="E1153" t="str">
            <v>K1801.03.15.07</v>
          </cell>
          <cell r="F1153" t="str">
            <v>Шпилька M36X3X275</v>
          </cell>
          <cell r="G1153">
            <v>105.61</v>
          </cell>
          <cell r="J1153" t="str">
            <v>双头螺柱 M36X3X275</v>
          </cell>
        </row>
        <row r="1154">
          <cell r="E1154" t="str">
            <v>K1801.03.15.08</v>
          </cell>
          <cell r="F1154" t="str">
            <v>Гайка М36х3</v>
          </cell>
          <cell r="G1154">
            <v>99.32</v>
          </cell>
          <cell r="J1154" t="str">
            <v>螺母 M36X3</v>
          </cell>
        </row>
        <row r="1155">
          <cell r="E1155" t="str">
            <v>K1801.03.15.09</v>
          </cell>
          <cell r="F1155" t="str">
            <v>Гайка M36x3</v>
          </cell>
          <cell r="G1155">
            <v>105.61</v>
          </cell>
          <cell r="J1155" t="str">
            <v>开槽螺母 M36X3</v>
          </cell>
        </row>
        <row r="1156">
          <cell r="E1156" t="str">
            <v>GB/T91 6.3X70</v>
          </cell>
          <cell r="F1156" t="str">
            <v>Шплинт 6.3x70</v>
          </cell>
          <cell r="G1156">
            <v>8.89</v>
          </cell>
          <cell r="J1156" t="str">
            <v>开口销 6.3X70</v>
          </cell>
        </row>
        <row r="1157">
          <cell r="E1157" t="str">
            <v>GB/T5782 M30X200</v>
          </cell>
          <cell r="F1157" t="str">
            <v>Болт М30х200</v>
          </cell>
          <cell r="G1157">
            <v>7.62</v>
          </cell>
          <cell r="J1157" t="str">
            <v>螺栓 M30X200</v>
          </cell>
        </row>
        <row r="1158">
          <cell r="E1158" t="str">
            <v>GB/T6170 M30</v>
          </cell>
          <cell r="F1158" t="str">
            <v>Гайка M30</v>
          </cell>
          <cell r="G1158">
            <v>4.0599999999999996</v>
          </cell>
          <cell r="J1158" t="str">
            <v>螺母 M30</v>
          </cell>
        </row>
        <row r="1159">
          <cell r="E1159" t="str">
            <v>GB/T5782 M30X150</v>
          </cell>
          <cell r="F1159" t="str">
            <v>Болт М30х150</v>
          </cell>
          <cell r="G1159">
            <v>7.62</v>
          </cell>
          <cell r="J1159" t="str">
            <v>螺栓 M30X150</v>
          </cell>
        </row>
        <row r="1160">
          <cell r="E1160" t="str">
            <v>GB/T5782 M24X110</v>
          </cell>
          <cell r="F1160" t="str">
            <v>Болт М24х110</v>
          </cell>
          <cell r="G1160">
            <v>2.54</v>
          </cell>
          <cell r="J1160" t="str">
            <v>螺栓 M24X110</v>
          </cell>
        </row>
        <row r="1161">
          <cell r="E1161" t="str">
            <v>GB/T120.2 30X80-A</v>
          </cell>
          <cell r="F1161" t="str">
            <v>Штифт 30х80-А</v>
          </cell>
          <cell r="G1161">
            <v>8.89</v>
          </cell>
          <cell r="J1161" t="str">
            <v>销 30X80-A</v>
          </cell>
        </row>
        <row r="1162">
          <cell r="E1162" t="str">
            <v>GB/T120.2 30X100-A</v>
          </cell>
          <cell r="F1162" t="str">
            <v>Штифт 30x80-A</v>
          </cell>
          <cell r="G1162">
            <v>11.43</v>
          </cell>
          <cell r="J1162" t="str">
            <v>销 30X100-A</v>
          </cell>
        </row>
        <row r="1163">
          <cell r="E1163" t="str">
            <v>GB/T93 30</v>
          </cell>
          <cell r="F1163" t="str">
            <v>Шайба 30</v>
          </cell>
          <cell r="G1163">
            <v>0.76</v>
          </cell>
          <cell r="J1163" t="str">
            <v>弹簧垫圈 30</v>
          </cell>
        </row>
        <row r="1164">
          <cell r="E1164" t="str">
            <v>K1701.03.17.01.00</v>
          </cell>
          <cell r="F1164" t="str">
            <v>Ручной гидравлический насос</v>
          </cell>
          <cell r="G1164">
            <v>2011.64</v>
          </cell>
          <cell r="J1164" t="str">
            <v>手动液压泵装置</v>
          </cell>
        </row>
        <row r="1165">
          <cell r="E1165" t="str">
            <v>K1701.03.17.01</v>
          </cell>
          <cell r="F1165" t="str">
            <v>Верхняя проушина</v>
          </cell>
          <cell r="G1165">
            <v>155.25</v>
          </cell>
          <cell r="J1165" t="str">
            <v>上吊耳</v>
          </cell>
        </row>
        <row r="1166">
          <cell r="E1166" t="str">
            <v>K1701.03.17.02</v>
          </cell>
          <cell r="F1166" t="str">
            <v>Нижняя проушина</v>
          </cell>
          <cell r="G1166">
            <v>426.38</v>
          </cell>
          <cell r="J1166" t="str">
            <v>下吊耳</v>
          </cell>
        </row>
        <row r="1167">
          <cell r="E1167" t="str">
            <v>K1701.03.17.03</v>
          </cell>
          <cell r="F1167" t="str">
            <v>Верхняя ось</v>
          </cell>
          <cell r="G1167">
            <v>113.7</v>
          </cell>
          <cell r="J1167" t="str">
            <v>上销轴</v>
          </cell>
        </row>
        <row r="1168">
          <cell r="E1168" t="str">
            <v>K1701.03.17.04</v>
          </cell>
          <cell r="F1168" t="str">
            <v>Нижняя ось</v>
          </cell>
          <cell r="G1168">
            <v>133.38</v>
          </cell>
          <cell r="J1168" t="str">
            <v>下销轴</v>
          </cell>
        </row>
        <row r="1169">
          <cell r="E1169" t="str">
            <v>GB91 6.3X50</v>
          </cell>
          <cell r="F1169" t="str">
            <v>Шплинт 6.3X50</v>
          </cell>
          <cell r="G1169">
            <v>2.5099999999999998</v>
          </cell>
          <cell r="J1169" t="str">
            <v>开口销6.3X50</v>
          </cell>
        </row>
        <row r="1170">
          <cell r="E1170" t="str">
            <v>K1701.03.17.02.00</v>
          </cell>
          <cell r="F1170" t="str">
            <v>Нижняя опора</v>
          </cell>
          <cell r="G1170">
            <v>198.98</v>
          </cell>
          <cell r="J1170" t="str">
            <v>下支座</v>
          </cell>
        </row>
        <row r="1171">
          <cell r="E1171" t="str">
            <v>7253-08105</v>
          </cell>
          <cell r="F1171" t="str">
            <v>Штуцер соединительный 6MJ-6MP90</v>
          </cell>
          <cell r="G1171">
            <v>12.57</v>
          </cell>
          <cell r="J1171" t="str">
            <v>连接器 6MJ-6MP90</v>
          </cell>
        </row>
        <row r="1172">
          <cell r="E1172" t="str">
            <v>2SN10-DKJ-DKJ-6000</v>
          </cell>
          <cell r="F1172" t="str">
            <v>Трубопровод высокого давления</v>
          </cell>
          <cell r="G1172">
            <v>347.86</v>
          </cell>
          <cell r="J1172" t="str">
            <v>高压胶管总成</v>
          </cell>
        </row>
        <row r="1173">
          <cell r="E1173" t="str">
            <v>GB/T 5783 M12x40</v>
          </cell>
          <cell r="F1173" t="str">
            <v>Болт M12x40</v>
          </cell>
          <cell r="G1173">
            <v>3.05</v>
          </cell>
          <cell r="J1173" t="str">
            <v>螺栓M12x40</v>
          </cell>
        </row>
        <row r="1174">
          <cell r="E1174" t="str">
            <v>GB/T 6170 M12</v>
          </cell>
          <cell r="F1174" t="str">
            <v>Гайка М12</v>
          </cell>
          <cell r="G1174">
            <v>2.54</v>
          </cell>
          <cell r="J1174" t="str">
            <v>螺母M12</v>
          </cell>
        </row>
        <row r="1175">
          <cell r="E1175" t="str">
            <v>GB/T 93 12</v>
          </cell>
          <cell r="F1175" t="str">
            <v>Шайба пружинная 12</v>
          </cell>
          <cell r="G1175">
            <v>2.54</v>
          </cell>
          <cell r="J1175" t="str">
            <v>垫圈12</v>
          </cell>
        </row>
        <row r="1176">
          <cell r="E1176" t="str">
            <v>K1801.03.18.01.00</v>
          </cell>
          <cell r="F1176" t="str">
            <v>Хомут</v>
          </cell>
          <cell r="G1176">
            <v>5.03</v>
          </cell>
          <cell r="J1176" t="str">
            <v>管夹</v>
          </cell>
        </row>
        <row r="1177">
          <cell r="E1177" t="str">
            <v>K1801.03.18.02.00</v>
          </cell>
          <cell r="F1177" t="str">
            <v>Часть воздуховода</v>
          </cell>
          <cell r="G1177">
            <v>45.26</v>
          </cell>
          <cell r="J1177" t="str">
            <v>空气管</v>
          </cell>
        </row>
        <row r="1178">
          <cell r="E1178" t="str">
            <v>K1801.03.18.02</v>
          </cell>
          <cell r="F1178" t="str">
            <v>Шайба</v>
          </cell>
          <cell r="G1178">
            <v>5.03</v>
          </cell>
          <cell r="J1178" t="str">
            <v>安装垫</v>
          </cell>
        </row>
        <row r="1179">
          <cell r="E1179" t="str">
            <v>K1801.03.18.03</v>
          </cell>
          <cell r="F1179" t="str">
            <v>Уголок</v>
          </cell>
          <cell r="G1179">
            <v>2.62</v>
          </cell>
          <cell r="J1179" t="str">
            <v>夹子</v>
          </cell>
        </row>
        <row r="1180">
          <cell r="E1180" t="str">
            <v>GB/T 5783 M10x20</v>
          </cell>
          <cell r="F1180" t="str">
            <v>Болт М10х20</v>
          </cell>
          <cell r="G1180">
            <v>2.54</v>
          </cell>
          <cell r="J1180" t="str">
            <v>螺栓M10x20</v>
          </cell>
        </row>
        <row r="1181">
          <cell r="E1181" t="str">
            <v>GB/T 93 10</v>
          </cell>
          <cell r="F1181" t="str">
            <v>Шайба 10</v>
          </cell>
          <cell r="G1181">
            <v>1.27</v>
          </cell>
          <cell r="J1181" t="str">
            <v>垫圈10</v>
          </cell>
        </row>
        <row r="1182">
          <cell r="E1182" t="str">
            <v>K1801.03.18.03.00</v>
          </cell>
          <cell r="F1182" t="str">
            <v>Часть воздуховода</v>
          </cell>
          <cell r="G1182">
            <v>65.38</v>
          </cell>
          <cell r="J1182" t="str">
            <v>空气管</v>
          </cell>
        </row>
        <row r="1183">
          <cell r="E1183" t="str">
            <v>GB/T 5783 M12x30</v>
          </cell>
          <cell r="F1183" t="str">
            <v>Болт М12х30</v>
          </cell>
          <cell r="G1183">
            <v>1.27</v>
          </cell>
          <cell r="J1183" t="str">
            <v>螺栓M12x30</v>
          </cell>
        </row>
        <row r="1184">
          <cell r="E1184" t="str">
            <v>K1801.03.18.04.00</v>
          </cell>
          <cell r="F1184" t="str">
            <v>Часть воздуховода</v>
          </cell>
          <cell r="G1184">
            <v>90.52</v>
          </cell>
          <cell r="J1184" t="str">
            <v>空气管</v>
          </cell>
        </row>
        <row r="1185">
          <cell r="E1185" t="str">
            <v>K1801.03.18.05.00</v>
          </cell>
          <cell r="F1185" t="str">
            <v>Часть воздуховода</v>
          </cell>
          <cell r="G1185">
            <v>75.44</v>
          </cell>
          <cell r="J1185" t="str">
            <v>空气管</v>
          </cell>
        </row>
        <row r="1186">
          <cell r="E1186" t="str">
            <v>GB/T 5783 M12x25</v>
          </cell>
          <cell r="F1186" t="str">
            <v>Болт M12x25</v>
          </cell>
          <cell r="G1186">
            <v>1.27</v>
          </cell>
          <cell r="J1186" t="str">
            <v>螺栓M12x25</v>
          </cell>
        </row>
        <row r="1187">
          <cell r="E1187" t="str">
            <v>K1801.03.18.06.00</v>
          </cell>
          <cell r="F1187" t="str">
            <v>Хомут</v>
          </cell>
          <cell r="G1187">
            <v>5.08</v>
          </cell>
          <cell r="J1187" t="str">
            <v>管夹</v>
          </cell>
        </row>
        <row r="1188">
          <cell r="E1188" t="str">
            <v>K1701.03.20.03</v>
          </cell>
          <cell r="F1188" t="str">
            <v xml:space="preserve">Уплотнительная прокладка </v>
          </cell>
          <cell r="G1188">
            <v>13.06</v>
          </cell>
          <cell r="J1188" t="str">
            <v>密封垫</v>
          </cell>
        </row>
        <row r="1189">
          <cell r="E1189" t="str">
            <v>K1701.03.20.04</v>
          </cell>
          <cell r="F1189" t="str">
            <v xml:space="preserve">Подшипник </v>
          </cell>
          <cell r="G1189">
            <v>8503.64</v>
          </cell>
          <cell r="J1189" t="str">
            <v>轴承</v>
          </cell>
        </row>
        <row r="1190">
          <cell r="E1190" t="str">
            <v>K1701.03.20.08</v>
          </cell>
          <cell r="F1190" t="str">
            <v xml:space="preserve">Подшипник </v>
          </cell>
          <cell r="G1190">
            <v>7369.06</v>
          </cell>
          <cell r="J1190" t="str">
            <v>轴承</v>
          </cell>
        </row>
        <row r="1191">
          <cell r="E1191" t="str">
            <v>K1701.03.20.09</v>
          </cell>
          <cell r="F1191" t="str">
            <v xml:space="preserve">Уплотнительная прокладка </v>
          </cell>
          <cell r="G1191">
            <v>13.06</v>
          </cell>
          <cell r="J1191" t="str">
            <v>密封垫</v>
          </cell>
        </row>
        <row r="1192">
          <cell r="E1192" t="str">
            <v>K1701.03.20.12</v>
          </cell>
          <cell r="F1192" t="str">
            <v xml:space="preserve">Манжета </v>
          </cell>
          <cell r="G1192">
            <v>46.31</v>
          </cell>
          <cell r="J1192" t="str">
            <v>油封</v>
          </cell>
        </row>
        <row r="1193">
          <cell r="E1193" t="str">
            <v>K1801.03.21.05</v>
          </cell>
          <cell r="F1193" t="str">
            <v>Опорная планка</v>
          </cell>
          <cell r="G1193">
            <v>121.48</v>
          </cell>
          <cell r="J1193" t="str">
            <v>压板</v>
          </cell>
        </row>
        <row r="1194">
          <cell r="E1194" t="str">
            <v>K1801.03.21.06</v>
          </cell>
          <cell r="F1194" t="str">
            <v>Прокладка</v>
          </cell>
          <cell r="G1194">
            <v>36.44</v>
          </cell>
          <cell r="J1194" t="str">
            <v>垫片</v>
          </cell>
        </row>
        <row r="1195">
          <cell r="E1195" t="str">
            <v>K1801.03.21.07</v>
          </cell>
          <cell r="F1195" t="str">
            <v>Прокладка</v>
          </cell>
          <cell r="G1195">
            <v>55.88</v>
          </cell>
          <cell r="J1195" t="str">
            <v>垫片</v>
          </cell>
        </row>
        <row r="1196">
          <cell r="E1196" t="str">
            <v>GB/T5783 M42X100</v>
          </cell>
          <cell r="F1196" t="str">
            <v>БолтM42x100</v>
          </cell>
          <cell r="G1196">
            <v>12.7</v>
          </cell>
          <cell r="J1196" t="str">
            <v>螺栓 M42X100</v>
          </cell>
        </row>
        <row r="1197">
          <cell r="E1197" t="str">
            <v>K1801.03.21.08</v>
          </cell>
          <cell r="F1197" t="str">
            <v>Болт M42x100</v>
          </cell>
          <cell r="G1197">
            <v>88.9</v>
          </cell>
          <cell r="J1197" t="str">
            <v>螺栓 M42X100</v>
          </cell>
        </row>
        <row r="1198">
          <cell r="E1198" t="str">
            <v>TS-D5X3658</v>
          </cell>
          <cell r="F1198" t="str">
            <v>Проволока стальная D5x3658</v>
          </cell>
          <cell r="G1198">
            <v>7.62</v>
          </cell>
          <cell r="J1198" t="str">
            <v>铁丝 D5X3658</v>
          </cell>
        </row>
        <row r="1199">
          <cell r="E1199" t="str">
            <v>K1801.03.21.09</v>
          </cell>
          <cell r="F1199" t="str">
            <v>Штифт 19x48</v>
          </cell>
          <cell r="G1199">
            <v>15.24</v>
          </cell>
          <cell r="J1199" t="str">
            <v>销19X48</v>
          </cell>
        </row>
        <row r="1200">
          <cell r="E1200" t="str">
            <v>K1802.03.21.13</v>
          </cell>
          <cell r="F1200" t="str">
            <v>Оснастка для установки гидравлического домкрата</v>
          </cell>
          <cell r="G1200">
            <v>7696.71</v>
          </cell>
          <cell r="J1200" t="str">
            <v>油缸装置</v>
          </cell>
        </row>
        <row r="1201">
          <cell r="E1201" t="str">
            <v>K1802.03.21.14</v>
          </cell>
          <cell r="F1201" t="str">
            <v>Регулировочная гайка</v>
          </cell>
          <cell r="G1201">
            <v>2920.94</v>
          </cell>
          <cell r="J1201" t="str">
            <v>端部螺母</v>
          </cell>
        </row>
        <row r="1202">
          <cell r="E1202" t="str">
            <v>K1802.03.21.15</v>
          </cell>
          <cell r="F1202" t="str">
            <v>Фиксатор гайки</v>
          </cell>
          <cell r="G1202">
            <v>70.41</v>
          </cell>
          <cell r="J1202" t="str">
            <v>锁紧键</v>
          </cell>
        </row>
        <row r="1203">
          <cell r="E1203" t="str">
            <v>K1802.03.21.17</v>
          </cell>
          <cell r="F1203" t="str">
            <v>Станина для установки гидравлического домкрата</v>
          </cell>
          <cell r="G1203">
            <v>2099.1</v>
          </cell>
          <cell r="J1203" t="str">
            <v>安装板</v>
          </cell>
        </row>
        <row r="1204">
          <cell r="E1204" t="str">
            <v>K1802.03.21.18</v>
          </cell>
          <cell r="F1204" t="str">
            <v>Распорная втулка</v>
          </cell>
          <cell r="G1204">
            <v>71.89</v>
          </cell>
          <cell r="J1204" t="str">
            <v>隔套</v>
          </cell>
        </row>
        <row r="1205">
          <cell r="E1205" t="str">
            <v>K1801.03.21.21</v>
          </cell>
          <cell r="F1205" t="str">
            <v>Большая шестерня вала напора</v>
          </cell>
          <cell r="G1205">
            <v>123445.44</v>
          </cell>
          <cell r="J1205" t="str">
            <v>推压大齿轮</v>
          </cell>
        </row>
        <row r="1206">
          <cell r="E1206" t="str">
            <v>GB/T70.1 M16X40</v>
          </cell>
          <cell r="F1206" t="str">
            <v>Болт М16х40</v>
          </cell>
          <cell r="G1206">
            <v>1.27</v>
          </cell>
          <cell r="J1206" t="str">
            <v>内六角螺钉 M16X40</v>
          </cell>
        </row>
        <row r="1207">
          <cell r="E1207" t="str">
            <v>K1801.03.21.22</v>
          </cell>
          <cell r="F1207" t="str">
            <v>Прокладка</v>
          </cell>
          <cell r="G1207">
            <v>29.15</v>
          </cell>
          <cell r="J1207" t="str">
            <v>垫片</v>
          </cell>
        </row>
        <row r="1208">
          <cell r="E1208" t="str">
            <v>GB/T32.1 M36X110</v>
          </cell>
          <cell r="F1208" t="str">
            <v>Болт М36х110</v>
          </cell>
          <cell r="G1208">
            <v>8.89</v>
          </cell>
          <cell r="J1208" t="str">
            <v>螺栓 M36X110</v>
          </cell>
        </row>
        <row r="1209">
          <cell r="E1209" t="str">
            <v>TS- D4-10000</v>
          </cell>
          <cell r="F1209" t="str">
            <v>Проволока стальная D4-10000</v>
          </cell>
          <cell r="G1209">
            <v>3.02</v>
          </cell>
          <cell r="J1209" t="str">
            <v>铁丝 D4-10000</v>
          </cell>
        </row>
        <row r="1210">
          <cell r="E1210" t="str">
            <v>K1801.03.21.26</v>
          </cell>
          <cell r="F1210" t="str">
            <v>Прокладка уплотнительная</v>
          </cell>
          <cell r="G1210">
            <v>8.5</v>
          </cell>
          <cell r="J1210" t="str">
            <v>密封垫</v>
          </cell>
        </row>
        <row r="1211">
          <cell r="E1211" t="str">
            <v>K1801.03.21.27</v>
          </cell>
          <cell r="F1211" t="str">
            <v>Прокладка уплотнительная</v>
          </cell>
          <cell r="G1211">
            <v>8.5</v>
          </cell>
          <cell r="J1211" t="str">
            <v>密封垫</v>
          </cell>
        </row>
        <row r="1212">
          <cell r="E1212" t="str">
            <v>GB/T70.1</v>
          </cell>
          <cell r="F1212" t="str">
            <v>Болт M20x50</v>
          </cell>
          <cell r="G1212">
            <v>2.54</v>
          </cell>
          <cell r="J1212" t="str">
            <v>内六角螺钉 M20X50</v>
          </cell>
        </row>
        <row r="1213">
          <cell r="E1213" t="str">
            <v>GB/T93 20</v>
          </cell>
          <cell r="F1213" t="str">
            <v>Шайба 20</v>
          </cell>
          <cell r="G1213">
            <v>0.76</v>
          </cell>
          <cell r="J1213" t="str">
            <v>垫圈 20</v>
          </cell>
        </row>
        <row r="1214">
          <cell r="E1214" t="str">
            <v>K1802.03.21.28</v>
          </cell>
          <cell r="F1214" t="str">
            <v>Болт M24x380</v>
          </cell>
          <cell r="G1214">
            <v>99.06</v>
          </cell>
          <cell r="J1214" t="str">
            <v>螺栓 M24X380</v>
          </cell>
        </row>
        <row r="1215">
          <cell r="E1215" t="str">
            <v>GB/T5783 M16X70</v>
          </cell>
          <cell r="F1215" t="str">
            <v>Болт М1бх70</v>
          </cell>
          <cell r="G1215">
            <v>2.0299999999999998</v>
          </cell>
          <cell r="J1215" t="str">
            <v>螺栓 M16X70</v>
          </cell>
        </row>
        <row r="1216">
          <cell r="E1216" t="str">
            <v>K1802.03.21.33</v>
          </cell>
          <cell r="F1216" t="str">
            <v>М30х330</v>
          </cell>
          <cell r="G1216">
            <v>17.27</v>
          </cell>
          <cell r="J1216" t="str">
            <v>螺栓 M30X330</v>
          </cell>
        </row>
        <row r="1217">
          <cell r="E1217" t="str">
            <v>K1801.03.21.29</v>
          </cell>
          <cell r="F1217" t="str">
            <v>Шайба</v>
          </cell>
          <cell r="G1217">
            <v>0.76</v>
          </cell>
          <cell r="J1217" t="str">
            <v>垫圈</v>
          </cell>
        </row>
        <row r="1218">
          <cell r="E1218" t="str">
            <v>GB/T5783 M48X200</v>
          </cell>
          <cell r="F1218" t="str">
            <v>Болт M48x200</v>
          </cell>
          <cell r="G1218">
            <v>38.1</v>
          </cell>
          <cell r="J1218" t="str">
            <v>螺栓M48X200</v>
          </cell>
        </row>
        <row r="1219">
          <cell r="E1219" t="str">
            <v>GB/T97.1 48</v>
          </cell>
          <cell r="F1219" t="str">
            <v>Шайба 48</v>
          </cell>
          <cell r="G1219">
            <v>1.27</v>
          </cell>
          <cell r="J1219" t="str">
            <v>垫圈 48</v>
          </cell>
        </row>
        <row r="1220">
          <cell r="E1220" t="str">
            <v>K1802.03.21.32</v>
          </cell>
          <cell r="F1220" t="str">
            <v>Болт</v>
          </cell>
          <cell r="G1220">
            <v>7.62</v>
          </cell>
          <cell r="J1220" t="str">
            <v>螺栓</v>
          </cell>
        </row>
        <row r="1221">
          <cell r="E1221" t="str">
            <v>K1801.04.02.00</v>
          </cell>
          <cell r="F1221" t="str">
            <v>Кронштейн рычага</v>
          </cell>
          <cell r="G1221">
            <v>5274.96</v>
          </cell>
          <cell r="J1221" t="str">
            <v>开斗杠杆装置</v>
          </cell>
        </row>
        <row r="1222">
          <cell r="E1222" t="str">
            <v>K1801.04.01</v>
          </cell>
          <cell r="F1222" t="str">
            <v>Опора рычага</v>
          </cell>
          <cell r="G1222">
            <v>2175.06</v>
          </cell>
          <cell r="J1222" t="str">
            <v>底板座</v>
          </cell>
        </row>
        <row r="1223">
          <cell r="E1223" t="str">
            <v>MT/Z1</v>
          </cell>
          <cell r="F1223" t="str">
            <v>Цепь 24x5000</v>
          </cell>
          <cell r="G1223">
            <v>661.72</v>
          </cell>
          <cell r="J1223" t="str">
            <v>链条24X5000</v>
          </cell>
        </row>
        <row r="1224">
          <cell r="E1224" t="str">
            <v>Q/JB44-66</v>
          </cell>
          <cell r="F1224" t="str">
            <v>Такелажная скоба 4.9</v>
          </cell>
          <cell r="G1224">
            <v>26.51</v>
          </cell>
          <cell r="J1224" t="str">
            <v>索具卸扣4.9</v>
          </cell>
        </row>
        <row r="1225">
          <cell r="E1225" t="str">
            <v>K1801.04.04.00</v>
          </cell>
          <cell r="F1225" t="str">
            <v>Опора лебедки</v>
          </cell>
          <cell r="G1225">
            <v>1000.35</v>
          </cell>
          <cell r="J1225" t="str">
            <v>电机支座</v>
          </cell>
        </row>
        <row r="1226">
          <cell r="E1226" t="str">
            <v>GB/T32.1 M24X90</v>
          </cell>
          <cell r="F1226" t="str">
            <v>Болт M24x90</v>
          </cell>
          <cell r="G1226">
            <v>8.89</v>
          </cell>
          <cell r="J1226" t="str">
            <v>螺栓M24X90</v>
          </cell>
        </row>
        <row r="1227">
          <cell r="E1227" t="str">
            <v>GB/T93 24</v>
          </cell>
          <cell r="F1227" t="str">
            <v>Шайба 24</v>
          </cell>
          <cell r="G1227">
            <v>0.76</v>
          </cell>
          <cell r="J1227" t="str">
            <v>垫圈24</v>
          </cell>
        </row>
        <row r="1228">
          <cell r="E1228" t="str">
            <v>GB/T6170 M24</v>
          </cell>
          <cell r="F1228" t="str">
            <v>Гайка M24</v>
          </cell>
          <cell r="G1228">
            <v>1.27</v>
          </cell>
          <cell r="J1228" t="str">
            <v>螺母M24</v>
          </cell>
        </row>
        <row r="1229">
          <cell r="E1229" t="str">
            <v>K1701.04.03.01</v>
          </cell>
          <cell r="F1229" t="str">
            <v>Шайба</v>
          </cell>
          <cell r="G1229">
            <v>0.51</v>
          </cell>
          <cell r="J1229" t="str">
            <v>垫圈</v>
          </cell>
        </row>
        <row r="1230">
          <cell r="E1230" t="str">
            <v>GS-D3X3556</v>
          </cell>
          <cell r="F1230" t="str">
            <v>Проволока стальная D3x3556</v>
          </cell>
          <cell r="G1230">
            <v>2.54</v>
          </cell>
          <cell r="J1230" t="str">
            <v>钢丝D3X3556</v>
          </cell>
        </row>
        <row r="1231">
          <cell r="E1231" t="str">
            <v>GB/T5782 M24X120</v>
          </cell>
          <cell r="F1231" t="str">
            <v>Болт M24x120</v>
          </cell>
          <cell r="G1231">
            <v>11.43</v>
          </cell>
          <cell r="J1231" t="str">
            <v>螺栓M24X120</v>
          </cell>
        </row>
        <row r="1232">
          <cell r="E1232" t="str">
            <v>GB/T96.1 24</v>
          </cell>
          <cell r="F1232" t="str">
            <v>Шайба 24</v>
          </cell>
          <cell r="G1232">
            <v>0.76</v>
          </cell>
          <cell r="J1232" t="str">
            <v>垫圈24</v>
          </cell>
        </row>
        <row r="1233">
          <cell r="E1233" t="str">
            <v>K1801.04.01.01.00</v>
          </cell>
          <cell r="F1233" t="str">
            <v>Рамка блока роликов</v>
          </cell>
          <cell r="G1233">
            <v>265.04000000000002</v>
          </cell>
          <cell r="J1233" t="str">
            <v>滑轮支架</v>
          </cell>
        </row>
        <row r="1234">
          <cell r="E1234" t="str">
            <v>K1801.04.01.01</v>
          </cell>
          <cell r="F1234" t="str">
            <v>Ось</v>
          </cell>
          <cell r="G1234">
            <v>112.64</v>
          </cell>
          <cell r="J1234" t="str">
            <v>销轴</v>
          </cell>
        </row>
        <row r="1235">
          <cell r="E1235" t="str">
            <v>K1601.04.01.01.02</v>
          </cell>
          <cell r="F1235" t="str">
            <v>Фиксатор оси</v>
          </cell>
          <cell r="G1235">
            <v>19.68</v>
          </cell>
          <cell r="J1235" t="str">
            <v>定位板</v>
          </cell>
        </row>
        <row r="1236">
          <cell r="E1236" t="str">
            <v>GB/T5783 M10X20</v>
          </cell>
          <cell r="F1236" t="str">
            <v>Болт М10х20</v>
          </cell>
          <cell r="G1236">
            <v>6.35</v>
          </cell>
          <cell r="J1236" t="str">
            <v>螺栓 M10X20</v>
          </cell>
        </row>
        <row r="1237">
          <cell r="E1237" t="str">
            <v>GB/T93 10</v>
          </cell>
          <cell r="F1237" t="str">
            <v>Шайба 10</v>
          </cell>
          <cell r="G1237">
            <v>0.76</v>
          </cell>
          <cell r="J1237" t="str">
            <v>垫圈 10</v>
          </cell>
        </row>
        <row r="1238">
          <cell r="E1238" t="str">
            <v>GB/T95 10</v>
          </cell>
          <cell r="F1238" t="str">
            <v>Шайба 10</v>
          </cell>
          <cell r="G1238">
            <v>0.76</v>
          </cell>
          <cell r="J1238" t="str">
            <v>垫圈 10</v>
          </cell>
        </row>
        <row r="1239">
          <cell r="E1239" t="str">
            <v>TZQ7310.01.00</v>
          </cell>
          <cell r="F1239" t="str">
            <v>Штуцер смазочный R1/4"</v>
          </cell>
          <cell r="G1239">
            <v>3.64</v>
          </cell>
          <cell r="J1239" t="str">
            <v>油嘴 R1/4"</v>
          </cell>
        </row>
        <row r="1240">
          <cell r="E1240" t="str">
            <v>K1601.04.03.08</v>
          </cell>
          <cell r="F1240" t="str">
            <v>Втулка</v>
          </cell>
          <cell r="G1240">
            <v>18.77</v>
          </cell>
          <cell r="J1240" t="str">
            <v>挡圈</v>
          </cell>
        </row>
        <row r="1241">
          <cell r="E1241" t="str">
            <v>K1801.05.01.00</v>
          </cell>
          <cell r="F1241" t="str">
            <v>Опора электродвигателя</v>
          </cell>
          <cell r="G1241">
            <v>26268.49</v>
          </cell>
          <cell r="J1241" t="str">
            <v>发动机支承座</v>
          </cell>
        </row>
        <row r="1242">
          <cell r="E1242" t="str">
            <v>K1801.05.04.00</v>
          </cell>
          <cell r="F1242" t="str">
            <v>Корпус редуктора</v>
          </cell>
          <cell r="G1242">
            <v>164569.60000000001</v>
          </cell>
          <cell r="J1242" t="str">
            <v>减速机箱体</v>
          </cell>
        </row>
        <row r="1243">
          <cell r="E1243" t="str">
            <v>K1802.05.05.00</v>
          </cell>
          <cell r="F1243" t="str">
            <v>Барабан подъема</v>
          </cell>
          <cell r="G1243">
            <v>623255.75</v>
          </cell>
          <cell r="J1243" t="str">
            <v>提升卷筒装置</v>
          </cell>
        </row>
        <row r="1244">
          <cell r="E1244" t="str">
            <v>K1801.05.06.00</v>
          </cell>
          <cell r="F1244" t="str">
            <v>Установка слива масла</v>
          </cell>
          <cell r="G1244">
            <v>711.73</v>
          </cell>
          <cell r="J1244" t="str">
            <v>提升传动排油器装置</v>
          </cell>
        </row>
        <row r="1245">
          <cell r="E1245" t="str">
            <v>K1801.05.12.00</v>
          </cell>
          <cell r="F1245" t="str">
            <v>Палец опоры</v>
          </cell>
          <cell r="G1245">
            <v>3477.51</v>
          </cell>
          <cell r="J1245" t="str">
            <v>销装置</v>
          </cell>
        </row>
        <row r="1246">
          <cell r="E1246" t="str">
            <v>K1801.05.01</v>
          </cell>
          <cell r="F1246" t="str">
            <v>Каретка</v>
          </cell>
          <cell r="G1246">
            <v>19.02</v>
          </cell>
          <cell r="J1246" t="str">
            <v>挡板</v>
          </cell>
        </row>
        <row r="1247">
          <cell r="E1247" t="str">
            <v>K1801.05.02</v>
          </cell>
          <cell r="F1247" t="str">
            <v>Клин</v>
          </cell>
          <cell r="G1247">
            <v>63.85</v>
          </cell>
          <cell r="J1247" t="str">
            <v>楔子</v>
          </cell>
        </row>
        <row r="1248">
          <cell r="E1248" t="str">
            <v>JB/ZQ4770 M27X2</v>
          </cell>
          <cell r="F1248" t="str">
            <v>Болт-пробка М27х2</v>
          </cell>
          <cell r="G1248">
            <v>17.27</v>
          </cell>
          <cell r="J1248" t="str">
            <v>螺塞 M27X2</v>
          </cell>
        </row>
        <row r="1249">
          <cell r="E1249" t="str">
            <v>K1805.05.03</v>
          </cell>
          <cell r="F1249" t="str">
            <v>Крышка</v>
          </cell>
          <cell r="G1249">
            <v>12.24</v>
          </cell>
          <cell r="J1249" t="str">
            <v>盖</v>
          </cell>
        </row>
        <row r="1250">
          <cell r="E1250" t="str">
            <v>O-3XD115/d63</v>
          </cell>
          <cell r="F1250" t="str">
            <v>Прокладка 3xD115/d63</v>
          </cell>
          <cell r="G1250">
            <v>7.22</v>
          </cell>
          <cell r="J1250" t="str">
            <v>密封垫-3XD115/d63</v>
          </cell>
        </row>
        <row r="1251">
          <cell r="E1251" t="str">
            <v>K1801.05.01.01.00</v>
          </cell>
          <cell r="F1251" t="str">
            <v>Опора двигателя подъема</v>
          </cell>
          <cell r="G1251">
            <v>22232.12</v>
          </cell>
          <cell r="J1251" t="str">
            <v>提升电机座</v>
          </cell>
        </row>
        <row r="1252">
          <cell r="E1252" t="str">
            <v>K1801.05.01.01</v>
          </cell>
          <cell r="F1252" t="str">
            <v>Пластина упорная -32X88X165</v>
          </cell>
          <cell r="G1252">
            <v>160.28</v>
          </cell>
          <cell r="J1252" t="str">
            <v>支持板-32X88X165</v>
          </cell>
        </row>
        <row r="1253">
          <cell r="E1253" t="str">
            <v>GB/T5783 M30x150</v>
          </cell>
          <cell r="F1253" t="str">
            <v>Болт М30х150</v>
          </cell>
          <cell r="G1253">
            <v>55.12</v>
          </cell>
          <cell r="J1253" t="str">
            <v>螺栓M30x150</v>
          </cell>
        </row>
        <row r="1254">
          <cell r="E1254" t="str">
            <v>K1801.05.01.02</v>
          </cell>
          <cell r="F1254" t="str">
            <v>Пластина упорная -32X88X106</v>
          </cell>
          <cell r="G1254">
            <v>29.08</v>
          </cell>
          <cell r="J1254" t="str">
            <v>支持板-32X88X106</v>
          </cell>
        </row>
        <row r="1255">
          <cell r="E1255" t="str">
            <v>GB/T5782 M42x140</v>
          </cell>
          <cell r="F1255" t="str">
            <v>Болт М42х140</v>
          </cell>
          <cell r="G1255">
            <v>19.05</v>
          </cell>
          <cell r="J1255" t="str">
            <v>螺栓M42x140</v>
          </cell>
        </row>
        <row r="1256">
          <cell r="E1256" t="str">
            <v>GB/T5782 M42X200</v>
          </cell>
          <cell r="F1256" t="str">
            <v>Болт М42х200</v>
          </cell>
          <cell r="G1256">
            <v>90.93</v>
          </cell>
          <cell r="J1256" t="str">
            <v>螺栓M42X200</v>
          </cell>
        </row>
        <row r="1257">
          <cell r="E1257" t="str">
            <v>JB/ZQ4339 42</v>
          </cell>
          <cell r="F1257" t="str">
            <v>Шайба 42</v>
          </cell>
          <cell r="G1257">
            <v>75.94</v>
          </cell>
          <cell r="J1257" t="str">
            <v>垫圈42</v>
          </cell>
        </row>
        <row r="1258">
          <cell r="E1258" t="str">
            <v>GB/T6170 M42</v>
          </cell>
          <cell r="F1258" t="str">
            <v>Гайка М42</v>
          </cell>
          <cell r="G1258">
            <v>7.22</v>
          </cell>
          <cell r="J1258" t="str">
            <v>螺母M42</v>
          </cell>
        </row>
        <row r="1259">
          <cell r="E1259" t="str">
            <v>JB/ZQ4080 42</v>
          </cell>
          <cell r="F1259" t="str">
            <v>Шайба 42</v>
          </cell>
          <cell r="G1259">
            <v>13.97</v>
          </cell>
          <cell r="J1259" t="str">
            <v>垫圈42</v>
          </cell>
        </row>
        <row r="1260">
          <cell r="E1260" t="str">
            <v>K1801.05.01.03</v>
          </cell>
          <cell r="F1260" t="str">
            <v>Штифт фиксирующий</v>
          </cell>
          <cell r="G1260">
            <v>59.09</v>
          </cell>
          <cell r="J1260" t="str">
            <v>定位销</v>
          </cell>
        </row>
        <row r="1261">
          <cell r="E1261" t="str">
            <v>K1801.05.01.04</v>
          </cell>
          <cell r="F1261" t="str">
            <v>Прокладка регулировочная</v>
          </cell>
          <cell r="G1261">
            <v>98.18</v>
          </cell>
          <cell r="J1261" t="str">
            <v>调整垫</v>
          </cell>
        </row>
        <row r="1262">
          <cell r="E1262" t="str">
            <v>K1801.05.01.05</v>
          </cell>
          <cell r="F1262" t="str">
            <v>Прокладка регулировочная</v>
          </cell>
          <cell r="G1262">
            <v>76.53</v>
          </cell>
          <cell r="J1262" t="str">
            <v>调整垫</v>
          </cell>
        </row>
        <row r="1263">
          <cell r="E1263" t="str">
            <v>K1701.05.02.01</v>
          </cell>
          <cell r="F1263" t="str">
            <v>Масляный уплотнитель</v>
          </cell>
          <cell r="G1263">
            <v>108.05</v>
          </cell>
          <cell r="J1263" t="str">
            <v>油密封</v>
          </cell>
        </row>
        <row r="1264">
          <cell r="E1264" t="str">
            <v>K1801.05.02.05</v>
          </cell>
          <cell r="F1264" t="str">
            <v>Кольцо уплотнительное</v>
          </cell>
          <cell r="G1264">
            <v>10.69</v>
          </cell>
          <cell r="J1264" t="str">
            <v>密封圈</v>
          </cell>
        </row>
        <row r="1265">
          <cell r="E1265" t="str">
            <v>K1701.05.02.12</v>
          </cell>
          <cell r="F1265" t="str">
            <v>Кольцо уплотнительное</v>
          </cell>
          <cell r="G1265">
            <v>21.37</v>
          </cell>
          <cell r="J1265" t="str">
            <v>密封圈</v>
          </cell>
        </row>
        <row r="1266">
          <cell r="E1266" t="str">
            <v>K1701.05.03.03</v>
          </cell>
          <cell r="F1266" t="str">
            <v xml:space="preserve">Подшипник </v>
          </cell>
          <cell r="G1266">
            <v>12745.65</v>
          </cell>
          <cell r="J1266" t="str">
            <v>轴承</v>
          </cell>
        </row>
        <row r="1267">
          <cell r="E1267" t="str">
            <v>K1701.05.03.08</v>
          </cell>
          <cell r="F1267" t="str">
            <v>Набор прокладок</v>
          </cell>
          <cell r="G1267">
            <v>18.809999999999999</v>
          </cell>
          <cell r="J1267" t="str">
            <v>垫圈组</v>
          </cell>
        </row>
        <row r="1268">
          <cell r="E1268" t="str">
            <v>K1830.05.05.01.00</v>
          </cell>
          <cell r="F1268" t="str">
            <v>Барабан подъема</v>
          </cell>
          <cell r="G1268">
            <v>354310.94</v>
          </cell>
          <cell r="J1268" t="str">
            <v>提升卷筒</v>
          </cell>
        </row>
        <row r="1269">
          <cell r="E1269" t="str">
            <v>K1801.05.05.01</v>
          </cell>
          <cell r="F1269" t="str">
            <v>Шестерня барабана подъема</v>
          </cell>
          <cell r="G1269">
            <v>139201.84</v>
          </cell>
          <cell r="J1269" t="str">
            <v>提升卷筒齿轮</v>
          </cell>
        </row>
        <row r="1270">
          <cell r="E1270" t="str">
            <v>K1830.05.05.02</v>
          </cell>
          <cell r="F1270" t="str">
            <v>Вал барабана подъема</v>
          </cell>
          <cell r="G1270">
            <v>39637.550000000003</v>
          </cell>
          <cell r="J1270" t="str">
            <v>提升卷筒轴</v>
          </cell>
        </row>
        <row r="1271">
          <cell r="E1271" t="str">
            <v>GB/T95 36</v>
          </cell>
          <cell r="F1271" t="str">
            <v>Шайба 36</v>
          </cell>
          <cell r="G1271">
            <v>1.52</v>
          </cell>
          <cell r="J1271" t="str">
            <v>垫圈 36</v>
          </cell>
        </row>
        <row r="1272">
          <cell r="E1272" t="str">
            <v>K1801.05.05.22</v>
          </cell>
          <cell r="F1272" t="str">
            <v>Прокладка</v>
          </cell>
          <cell r="G1272">
            <v>6.07</v>
          </cell>
          <cell r="J1272" t="str">
            <v>垫片</v>
          </cell>
        </row>
        <row r="1273">
          <cell r="E1273" t="str">
            <v>GB/T5783 M20X65</v>
          </cell>
          <cell r="F1273" t="str">
            <v>Болт M20x65</v>
          </cell>
          <cell r="G1273">
            <v>4.83</v>
          </cell>
          <cell r="J1273" t="str">
            <v>螺栓 M20X65</v>
          </cell>
        </row>
        <row r="1274">
          <cell r="E1274" t="str">
            <v>K1801.05.05.04</v>
          </cell>
          <cell r="F1274" t="str">
            <v>Втулка распорная</v>
          </cell>
          <cell r="G1274">
            <v>662.79</v>
          </cell>
          <cell r="J1274" t="str">
            <v>隔套</v>
          </cell>
        </row>
        <row r="1275">
          <cell r="E1275" t="str">
            <v>DG</v>
          </cell>
          <cell r="F1275" t="str">
            <v>Торцевая крышка</v>
          </cell>
          <cell r="G1275">
            <v>3959.87</v>
          </cell>
          <cell r="J1275" t="str">
            <v>端盖</v>
          </cell>
        </row>
        <row r="1276">
          <cell r="E1276" t="str">
            <v>GB32.1 M30X90</v>
          </cell>
          <cell r="F1276" t="str">
            <v>Болт М30х90</v>
          </cell>
          <cell r="G1276">
            <v>7.62</v>
          </cell>
          <cell r="J1276" t="str">
            <v>带孔螺栓M30X90</v>
          </cell>
        </row>
        <row r="1277">
          <cell r="E1277" t="str">
            <v>TS-D3X4763</v>
          </cell>
          <cell r="F1277" t="str">
            <v>Проволока стальная D3x4763</v>
          </cell>
          <cell r="G1277">
            <v>3.77</v>
          </cell>
          <cell r="J1277" t="str">
            <v>铁丝 D3X4763</v>
          </cell>
        </row>
        <row r="1278">
          <cell r="E1278" t="str">
            <v>K1802.05.05.05</v>
          </cell>
          <cell r="F1278" t="str">
            <v>Кольцо регулировочное</v>
          </cell>
          <cell r="G1278">
            <v>21.12</v>
          </cell>
          <cell r="J1278" t="str">
            <v>调整垫</v>
          </cell>
        </row>
        <row r="1279">
          <cell r="E1279" t="str">
            <v>K1802.05.05.06</v>
          </cell>
          <cell r="F1279" t="str">
            <v>Прокладка  регулировочная</v>
          </cell>
          <cell r="G1279">
            <v>22.5</v>
          </cell>
          <cell r="J1279" t="str">
            <v>调整垫</v>
          </cell>
        </row>
        <row r="1280">
          <cell r="E1280" t="str">
            <v>K1801.05.05.07</v>
          </cell>
          <cell r="F1280" t="str">
            <v>Заслонка торца вала</v>
          </cell>
          <cell r="G1280">
            <v>417.44</v>
          </cell>
          <cell r="J1280" t="str">
            <v>轴端挡板</v>
          </cell>
        </row>
        <row r="1281">
          <cell r="E1281" t="str">
            <v>K1801.05.05.08</v>
          </cell>
          <cell r="F1281" t="str">
            <v>Прокладка регулировочная</v>
          </cell>
          <cell r="G1281">
            <v>126.27</v>
          </cell>
          <cell r="J1281" t="str">
            <v>调整垫</v>
          </cell>
        </row>
        <row r="1282">
          <cell r="E1282" t="str">
            <v>K1801.05.05.09</v>
          </cell>
          <cell r="F1282" t="str">
            <v>Прокладка уплотнительная</v>
          </cell>
          <cell r="G1282">
            <v>8.02</v>
          </cell>
          <cell r="J1282" t="str">
            <v>密封垫</v>
          </cell>
        </row>
        <row r="1283">
          <cell r="E1283" t="str">
            <v>K1801.05.05.11</v>
          </cell>
          <cell r="F1283" t="str">
            <v>Кольцо маслоотражательное</v>
          </cell>
          <cell r="G1283">
            <v>46.9</v>
          </cell>
          <cell r="J1283" t="str">
            <v>挡油圈</v>
          </cell>
        </row>
        <row r="1284">
          <cell r="E1284" t="str">
            <v>K1801.05.05.04.00</v>
          </cell>
          <cell r="F1284" t="str">
            <v>Манжета</v>
          </cell>
          <cell r="G1284">
            <v>5126.92</v>
          </cell>
          <cell r="J1284" t="str">
            <v>V型油封</v>
          </cell>
        </row>
        <row r="1285">
          <cell r="E1285" t="str">
            <v>K1801.05.05.12</v>
          </cell>
          <cell r="F1285" t="str">
            <v>Прокладка уплотнительная</v>
          </cell>
          <cell r="G1285">
            <v>8.5</v>
          </cell>
          <cell r="J1285" t="str">
            <v>密封垫</v>
          </cell>
        </row>
        <row r="1286">
          <cell r="E1286" t="str">
            <v>K1801.05.05.13</v>
          </cell>
          <cell r="F1286" t="str">
            <v>Крышка сальника</v>
          </cell>
          <cell r="G1286">
            <v>440.63</v>
          </cell>
          <cell r="J1286" t="str">
            <v>压盖</v>
          </cell>
        </row>
        <row r="1287">
          <cell r="E1287" t="str">
            <v>K1801.05.05.14</v>
          </cell>
          <cell r="F1287" t="str">
            <v>Болт M20</v>
          </cell>
          <cell r="G1287">
            <v>31.75</v>
          </cell>
          <cell r="J1287" t="str">
            <v>带孔螺栓 M20</v>
          </cell>
        </row>
        <row r="1288">
          <cell r="E1288" t="str">
            <v>ZB-5xD130</v>
          </cell>
          <cell r="F1288" t="str">
            <v>Заслонка -5xD130</v>
          </cell>
          <cell r="G1288">
            <v>5.97</v>
          </cell>
          <cell r="J1288" t="str">
            <v>闸板-5xD130</v>
          </cell>
        </row>
        <row r="1289">
          <cell r="E1289" t="str">
            <v>K1801.05.05.15</v>
          </cell>
          <cell r="F1289" t="str">
            <v>Боковая опора подшипника</v>
          </cell>
          <cell r="G1289">
            <v>23508.55</v>
          </cell>
          <cell r="J1289" t="str">
            <v>轴承座</v>
          </cell>
        </row>
        <row r="1290">
          <cell r="E1290" t="str">
            <v>K1801.05.05.07.00</v>
          </cell>
          <cell r="F1290" t="str">
            <v>Торцевая крышка</v>
          </cell>
          <cell r="G1290">
            <v>1739.31</v>
          </cell>
          <cell r="J1290" t="str">
            <v>端盖</v>
          </cell>
        </row>
        <row r="1291">
          <cell r="E1291" t="str">
            <v>GB/T5783 M20X55</v>
          </cell>
          <cell r="F1291" t="str">
            <v>Болт M20x55</v>
          </cell>
          <cell r="G1291">
            <v>5.59</v>
          </cell>
          <cell r="J1291" t="str">
            <v>螺栓 M20X55</v>
          </cell>
        </row>
        <row r="1292">
          <cell r="E1292" t="str">
            <v>K1801.05.05.16</v>
          </cell>
          <cell r="F1292" t="str">
            <v>Болт M60x2</v>
          </cell>
          <cell r="G1292">
            <v>653.78</v>
          </cell>
          <cell r="J1292" t="str">
            <v>双头螺柱M60X2</v>
          </cell>
        </row>
        <row r="1293">
          <cell r="E1293" t="str">
            <v>GB/T91 10X120</v>
          </cell>
          <cell r="F1293" t="str">
            <v>Шплинт 10x120</v>
          </cell>
          <cell r="G1293">
            <v>1.27</v>
          </cell>
          <cell r="J1293" t="str">
            <v>销10X120</v>
          </cell>
        </row>
        <row r="1294">
          <cell r="E1294" t="str">
            <v>K1801.05.05.17</v>
          </cell>
          <cell r="F1294" t="str">
            <v>Гайка шлицевая M60x2</v>
          </cell>
          <cell r="G1294">
            <v>279.39</v>
          </cell>
          <cell r="J1294" t="str">
            <v>开槽螺母 M60X2</v>
          </cell>
        </row>
        <row r="1295">
          <cell r="E1295" t="str">
            <v>JB/ZQ4339 60</v>
          </cell>
          <cell r="F1295" t="str">
            <v>Шайба 60</v>
          </cell>
          <cell r="G1295">
            <v>0.76</v>
          </cell>
          <cell r="J1295" t="str">
            <v>垫圈 60</v>
          </cell>
        </row>
        <row r="1296">
          <cell r="E1296" t="str">
            <v>K1801.05.05.18</v>
          </cell>
          <cell r="F1296" t="str">
            <v>Гайка шлицевая M60x2</v>
          </cell>
          <cell r="G1296">
            <v>151.13</v>
          </cell>
          <cell r="J1296" t="str">
            <v>螺母 M60X2</v>
          </cell>
        </row>
        <row r="1297">
          <cell r="E1297" t="str">
            <v>K1801.05.05.19</v>
          </cell>
          <cell r="F1297" t="str">
            <v>Прокладка регулировочная</v>
          </cell>
          <cell r="G1297">
            <v>152.13</v>
          </cell>
          <cell r="J1297" t="str">
            <v>调整垫</v>
          </cell>
        </row>
        <row r="1298">
          <cell r="E1298" t="str">
            <v>K1801.05.05.21</v>
          </cell>
          <cell r="F1298" t="str">
            <v>Кольцо опорное</v>
          </cell>
          <cell r="G1298">
            <v>579.77</v>
          </cell>
          <cell r="J1298" t="str">
            <v>挡圈</v>
          </cell>
        </row>
        <row r="1299">
          <cell r="E1299" t="str">
            <v>K1802.05.05.23</v>
          </cell>
          <cell r="F1299" t="str">
            <v>Уплотнение</v>
          </cell>
          <cell r="G1299">
            <v>68.03</v>
          </cell>
          <cell r="J1299" t="str">
            <v>J形油密封</v>
          </cell>
        </row>
        <row r="1300">
          <cell r="E1300" t="str">
            <v>K1802.05.05.24</v>
          </cell>
          <cell r="F1300" t="str">
            <v>крышка прижимная</v>
          </cell>
          <cell r="G1300">
            <v>34.44</v>
          </cell>
          <cell r="J1300" t="str">
            <v>压盖</v>
          </cell>
        </row>
        <row r="1301">
          <cell r="E1301" t="str">
            <v>GB/T5783 M5X13</v>
          </cell>
          <cell r="F1301" t="str">
            <v>Болт M5x13</v>
          </cell>
          <cell r="G1301">
            <v>10.16</v>
          </cell>
          <cell r="J1301" t="str">
            <v>螺栓 M5X13</v>
          </cell>
        </row>
        <row r="1302">
          <cell r="E1302" t="str">
            <v>GB/T93 5</v>
          </cell>
          <cell r="F1302" t="str">
            <v>Шайба 5</v>
          </cell>
          <cell r="G1302">
            <v>1.27</v>
          </cell>
          <cell r="J1302" t="str">
            <v>垫圈 5</v>
          </cell>
        </row>
        <row r="1303">
          <cell r="E1303" t="str">
            <v>K1802.05.05.01.00</v>
          </cell>
          <cell r="F1303" t="str">
            <v>Фиксатор вала</v>
          </cell>
          <cell r="G1303">
            <v>332.9</v>
          </cell>
          <cell r="J1303" t="str">
            <v>轴端挡板</v>
          </cell>
        </row>
        <row r="1304">
          <cell r="E1304" t="str">
            <v>K1801.05.11.03</v>
          </cell>
          <cell r="F1304" t="str">
            <v>Стальная плита 5х102х432</v>
          </cell>
          <cell r="G1304">
            <v>209.53</v>
          </cell>
          <cell r="J1304" t="str">
            <v>钢板</v>
          </cell>
        </row>
        <row r="1305">
          <cell r="E1305" t="str">
            <v>K1801.07.03.00</v>
          </cell>
          <cell r="F1305" t="str">
            <v>Узел двигателя механизма поворота</v>
          </cell>
          <cell r="G1305">
            <v>63667.64</v>
          </cell>
          <cell r="J1305" t="str">
            <v>回转电机安装支座</v>
          </cell>
        </row>
        <row r="1306">
          <cell r="E1306" t="str">
            <v>K1801.07.04.00</v>
          </cell>
          <cell r="F1306" t="str">
            <v>Установка слива масла</v>
          </cell>
          <cell r="G1306">
            <v>456.99</v>
          </cell>
          <cell r="J1306" t="str">
            <v>放油装置</v>
          </cell>
        </row>
        <row r="1307">
          <cell r="E1307" t="str">
            <v>K1801.07.05.00</v>
          </cell>
          <cell r="F1307" t="str">
            <v>Кожух шестерни поворота</v>
          </cell>
          <cell r="G1307">
            <v>327.98</v>
          </cell>
          <cell r="J1307" t="str">
            <v>回转小齿轮罩</v>
          </cell>
        </row>
        <row r="1308">
          <cell r="E1308" t="str">
            <v>GB/T70 М30х180</v>
          </cell>
          <cell r="F1308" t="str">
            <v>Болт М30х180</v>
          </cell>
          <cell r="G1308">
            <v>14.22</v>
          </cell>
          <cell r="J1308" t="str">
            <v>螺栓М30х180</v>
          </cell>
        </row>
        <row r="1309">
          <cell r="E1309" t="str">
            <v>K1802.07.01</v>
          </cell>
          <cell r="F1309" t="str">
            <v>Упорный бортик</v>
          </cell>
          <cell r="G1309">
            <v>7.73</v>
          </cell>
          <cell r="J1309" t="str">
            <v>档铁</v>
          </cell>
        </row>
        <row r="1310">
          <cell r="E1310" t="str">
            <v>GB/T5783 M14x30</v>
          </cell>
          <cell r="F1310" t="str">
            <v>Болт M14x30</v>
          </cell>
          <cell r="G1310">
            <v>1.27</v>
          </cell>
          <cell r="J1310" t="str">
            <v>螺栓 M14x30</v>
          </cell>
        </row>
        <row r="1311">
          <cell r="E1311" t="str">
            <v>GB/T93 14</v>
          </cell>
          <cell r="F1311" t="str">
            <v>Шайба пружинная 14</v>
          </cell>
          <cell r="G1311">
            <v>0.76</v>
          </cell>
          <cell r="J1311" t="str">
            <v>弹簧垫14</v>
          </cell>
        </row>
        <row r="1312">
          <cell r="E1312" t="str">
            <v>GB/T95 14</v>
          </cell>
          <cell r="F1312" t="str">
            <v>Шайба 14</v>
          </cell>
          <cell r="G1312">
            <v>0.76</v>
          </cell>
          <cell r="J1312" t="str">
            <v>垫片14</v>
          </cell>
        </row>
        <row r="1313">
          <cell r="E1313" t="str">
            <v>K1801.07.01.01</v>
          </cell>
          <cell r="F1313" t="str">
            <v>Малая шестерня поворота</v>
          </cell>
          <cell r="G1313">
            <v>29105.11</v>
          </cell>
          <cell r="J1313" t="str">
            <v>回转小齿</v>
          </cell>
        </row>
        <row r="1314">
          <cell r="E1314" t="str">
            <v>K1801.07.01.03</v>
          </cell>
          <cell r="F1314" t="str">
            <v>Установочная планка</v>
          </cell>
          <cell r="G1314">
            <v>3200.34</v>
          </cell>
          <cell r="J1314" t="str">
            <v>固定板</v>
          </cell>
        </row>
        <row r="1315">
          <cell r="E1315" t="str">
            <v>K1801.07.01.04</v>
          </cell>
          <cell r="F1315" t="str">
            <v>Манжета</v>
          </cell>
          <cell r="G1315">
            <v>1409.12</v>
          </cell>
          <cell r="J1315" t="str">
            <v>J型密封圈</v>
          </cell>
        </row>
        <row r="1316">
          <cell r="E1316" t="str">
            <v>GB/T3452.1 487X7 G</v>
          </cell>
          <cell r="F1316" t="str">
            <v>Уплотнительное кольцо 487x7 G</v>
          </cell>
          <cell r="G1316">
            <v>9.7200000000000006</v>
          </cell>
          <cell r="J1316" t="str">
            <v>O型密封圈 487X7 G</v>
          </cell>
        </row>
        <row r="1317">
          <cell r="E1317" t="str">
            <v>K1801.07.01.05</v>
          </cell>
          <cell r="F1317" t="str">
            <v>Подшипник</v>
          </cell>
          <cell r="G1317">
            <v>16092.1</v>
          </cell>
          <cell r="J1317" t="str">
            <v>轴承</v>
          </cell>
        </row>
        <row r="1318">
          <cell r="E1318" t="str">
            <v>K1801.07.01.06</v>
          </cell>
          <cell r="F1318" t="str">
            <v>Фиксирующая втулка</v>
          </cell>
          <cell r="G1318">
            <v>826.52</v>
          </cell>
          <cell r="J1318" t="str">
            <v>定位套</v>
          </cell>
        </row>
        <row r="1319">
          <cell r="E1319" t="str">
            <v>K1801.07.01.07</v>
          </cell>
          <cell r="F1319" t="str">
            <v>Прокладка регулировочная</v>
          </cell>
          <cell r="G1319">
            <v>6.03</v>
          </cell>
          <cell r="J1319" t="str">
            <v>调整垫</v>
          </cell>
        </row>
        <row r="1320">
          <cell r="E1320" t="str">
            <v>GB/T5782 M36x150</v>
          </cell>
          <cell r="F1320" t="str">
            <v>Болт M36x150</v>
          </cell>
          <cell r="G1320">
            <v>13.97</v>
          </cell>
          <cell r="J1320" t="str">
            <v>螺栓M36x150</v>
          </cell>
        </row>
        <row r="1321">
          <cell r="E1321" t="str">
            <v>GB/T93 36</v>
          </cell>
          <cell r="F1321" t="str">
            <v>Шайба 36</v>
          </cell>
          <cell r="G1321">
            <v>0.76</v>
          </cell>
          <cell r="J1321" t="str">
            <v>垫圈36</v>
          </cell>
        </row>
        <row r="1322">
          <cell r="E1322" t="str">
            <v>GS-ф5x2500</v>
          </cell>
          <cell r="F1322" t="str">
            <v>Проволока стальная ф5x2500</v>
          </cell>
          <cell r="G1322">
            <v>8.89</v>
          </cell>
          <cell r="J1322" t="str">
            <v>钢丝ф5x2500</v>
          </cell>
        </row>
        <row r="1323">
          <cell r="E1323" t="str">
            <v>K1801.07.01.08</v>
          </cell>
          <cell r="F1323" t="str">
            <v>Прокладка регулировочная</v>
          </cell>
          <cell r="G1323">
            <v>12.7</v>
          </cell>
          <cell r="J1323" t="str">
            <v>调整垫</v>
          </cell>
        </row>
        <row r="1324">
          <cell r="E1324" t="str">
            <v>K1801.07.01.09</v>
          </cell>
          <cell r="F1324" t="str">
            <v>Фиксатор конца вала</v>
          </cell>
          <cell r="G1324">
            <v>313.54000000000002</v>
          </cell>
          <cell r="J1324" t="str">
            <v>轴端挡板</v>
          </cell>
        </row>
        <row r="1325">
          <cell r="E1325" t="str">
            <v>GB/T5783 M30</v>
          </cell>
          <cell r="F1325" t="str">
            <v xml:space="preserve">Болт </v>
          </cell>
          <cell r="G1325">
            <v>8.89</v>
          </cell>
          <cell r="J1325" t="str">
            <v>螺栓</v>
          </cell>
        </row>
        <row r="1326">
          <cell r="E1326" t="str">
            <v>GB/T 5782 М30х120</v>
          </cell>
          <cell r="F1326" t="str">
            <v>Болт М30х120</v>
          </cell>
          <cell r="G1326">
            <v>14.22</v>
          </cell>
          <cell r="J1326" t="str">
            <v>螺栓М30х120</v>
          </cell>
        </row>
        <row r="1327">
          <cell r="E1327" t="str">
            <v>GB/T 6170 М30</v>
          </cell>
          <cell r="F1327" t="str">
            <v>Гайка M30</v>
          </cell>
          <cell r="G1327">
            <v>2.0299999999999998</v>
          </cell>
          <cell r="J1327" t="str">
            <v>螺母М30</v>
          </cell>
        </row>
        <row r="1328">
          <cell r="E1328" t="str">
            <v>K1801.07.03.01.00</v>
          </cell>
          <cell r="F1328" t="str">
            <v>Соединительная опора двигателя</v>
          </cell>
          <cell r="G1328">
            <v>10663.88</v>
          </cell>
          <cell r="J1328" t="str">
            <v>电动机连接座</v>
          </cell>
        </row>
        <row r="1329">
          <cell r="E1329" t="str">
            <v>GB/T 5781 М10х30</v>
          </cell>
          <cell r="F1329" t="str">
            <v>Болт М10х30</v>
          </cell>
          <cell r="G1329">
            <v>2.0299999999999998</v>
          </cell>
          <cell r="J1329" t="str">
            <v>螺栓М10х30</v>
          </cell>
        </row>
        <row r="1330">
          <cell r="E1330" t="str">
            <v>K1801.07.03.01</v>
          </cell>
          <cell r="F1330" t="str">
            <v>Шайба</v>
          </cell>
          <cell r="G1330">
            <v>4.0599999999999996</v>
          </cell>
          <cell r="J1330" t="str">
            <v>垫圈</v>
          </cell>
        </row>
        <row r="1331">
          <cell r="E1331" t="str">
            <v>K1801.07.03.02</v>
          </cell>
          <cell r="F1331" t="str">
            <v>Фиксатор</v>
          </cell>
          <cell r="G1331">
            <v>73.010000000000005</v>
          </cell>
          <cell r="J1331" t="str">
            <v>轴端挡板</v>
          </cell>
        </row>
        <row r="1332">
          <cell r="E1332" t="str">
            <v>K1801.07.03.03</v>
          </cell>
          <cell r="F1332" t="str">
            <v>Болт M24X90</v>
          </cell>
          <cell r="G1332">
            <v>65.02</v>
          </cell>
          <cell r="J1332" t="str">
            <v>螺栓M24X90</v>
          </cell>
        </row>
        <row r="1333">
          <cell r="E1333" t="str">
            <v>GB/T889.2 M24X2</v>
          </cell>
          <cell r="F1333" t="str">
            <v>Контргайка M24X2</v>
          </cell>
          <cell r="G1333">
            <v>10.16</v>
          </cell>
          <cell r="J1333" t="str">
            <v>锁紧螺母M24X2</v>
          </cell>
        </row>
        <row r="1334">
          <cell r="E1334" t="str">
            <v>GB/T 5782 M24x120</v>
          </cell>
          <cell r="F1334" t="str">
            <v>Болт M24x120</v>
          </cell>
          <cell r="G1334">
            <v>14.22</v>
          </cell>
          <cell r="J1334" t="str">
            <v>螺栓M24x120</v>
          </cell>
        </row>
        <row r="1335">
          <cell r="E1335" t="str">
            <v>GB/T 6170 M24</v>
          </cell>
          <cell r="F1335" t="str">
            <v>Гайка M24</v>
          </cell>
          <cell r="G1335">
            <v>2.54</v>
          </cell>
          <cell r="J1335" t="str">
            <v>螺母M24</v>
          </cell>
        </row>
        <row r="1336">
          <cell r="E1336" t="str">
            <v>GB/T 93 24</v>
          </cell>
          <cell r="F1336" t="str">
            <v>Шайба 24</v>
          </cell>
          <cell r="G1336">
            <v>1.27</v>
          </cell>
          <cell r="J1336" t="str">
            <v>垫圈24</v>
          </cell>
        </row>
        <row r="1337">
          <cell r="E1337" t="str">
            <v>GB/T 5783 M16x55</v>
          </cell>
          <cell r="F1337" t="str">
            <v>Болт M16x55</v>
          </cell>
          <cell r="G1337">
            <v>7.62</v>
          </cell>
          <cell r="J1337" t="str">
            <v>螺栓M16x55</v>
          </cell>
        </row>
        <row r="1338">
          <cell r="E1338" t="str">
            <v>GB/T 95 16</v>
          </cell>
          <cell r="F1338" t="str">
            <v>Шайба 16</v>
          </cell>
          <cell r="G1338">
            <v>1.27</v>
          </cell>
          <cell r="J1338" t="str">
            <v>垫圈16</v>
          </cell>
        </row>
        <row r="1339">
          <cell r="E1339" t="str">
            <v>GB/T 93 16</v>
          </cell>
          <cell r="F1339" t="str">
            <v>Шайба 16</v>
          </cell>
          <cell r="G1339">
            <v>1.27</v>
          </cell>
          <cell r="J1339" t="str">
            <v>垫圈16</v>
          </cell>
        </row>
        <row r="1340">
          <cell r="E1340" t="str">
            <v>GB/T 5781 M12X35</v>
          </cell>
          <cell r="F1340" t="str">
            <v>Болт M12x35</v>
          </cell>
          <cell r="G1340">
            <v>5.08</v>
          </cell>
          <cell r="J1340" t="str">
            <v>螺栓M12X35</v>
          </cell>
        </row>
        <row r="1341">
          <cell r="E1341" t="str">
            <v>K1801.07.03.04</v>
          </cell>
          <cell r="F1341" t="str">
            <v>Шайба</v>
          </cell>
          <cell r="G1341">
            <v>18.29</v>
          </cell>
          <cell r="J1341" t="str">
            <v>垫圈</v>
          </cell>
        </row>
        <row r="1342">
          <cell r="E1342" t="str">
            <v>K1801.07.03.05</v>
          </cell>
          <cell r="F1342" t="str">
            <v>Фиксатор</v>
          </cell>
          <cell r="G1342">
            <v>55.1</v>
          </cell>
          <cell r="J1342" t="str">
            <v>轴端挡板</v>
          </cell>
        </row>
        <row r="1343">
          <cell r="E1343" t="str">
            <v>K1801.07.03.07</v>
          </cell>
          <cell r="F1343" t="str">
            <v>Штифт 25x90</v>
          </cell>
          <cell r="G1343">
            <v>2.0299999999999998</v>
          </cell>
          <cell r="J1343" t="str">
            <v>销25x90</v>
          </cell>
        </row>
        <row r="1344">
          <cell r="E1344" t="str">
            <v>K1812.09.02</v>
          </cell>
          <cell r="F1344" t="str">
            <v>Внутренняя прижимная планка</v>
          </cell>
          <cell r="G1344">
            <v>61.22</v>
          </cell>
          <cell r="J1344" t="str">
            <v>压板</v>
          </cell>
        </row>
        <row r="1345">
          <cell r="E1345" t="str">
            <v>K1812.09.03</v>
          </cell>
          <cell r="F1345" t="str">
            <v>Внешняя прижимная планка</v>
          </cell>
          <cell r="G1345">
            <v>61.22</v>
          </cell>
          <cell r="J1345" t="str">
            <v>压板</v>
          </cell>
        </row>
        <row r="1346">
          <cell r="E1346" t="str">
            <v>K1830.09.08.00</v>
          </cell>
          <cell r="F1346" t="str">
            <v>Сдвижная лестница</v>
          </cell>
          <cell r="G1346">
            <v>8173.61</v>
          </cell>
          <cell r="J1346" t="str">
            <v>伸缩梯</v>
          </cell>
        </row>
        <row r="1347">
          <cell r="E1347" t="str">
            <v>K1830.09.09.00</v>
          </cell>
          <cell r="F1347" t="str">
            <v>Подъемная лестница</v>
          </cell>
          <cell r="G1347">
            <v>11949.52</v>
          </cell>
          <cell r="J1347" t="str">
            <v>斜梯</v>
          </cell>
        </row>
        <row r="1348">
          <cell r="E1348" t="str">
            <v>K1801.09.01.01</v>
          </cell>
          <cell r="F1348" t="str">
            <v>Втулка основания стрелы</v>
          </cell>
          <cell r="G1348">
            <v>830.89</v>
          </cell>
          <cell r="J1348" t="str">
            <v>起重臂根脚套</v>
          </cell>
        </row>
        <row r="1349">
          <cell r="E1349" t="str">
            <v>K1801.09.01.02</v>
          </cell>
          <cell r="F1349" t="str">
            <v>Втулка опорного рычага А-образной стойки</v>
          </cell>
          <cell r="G1349">
            <v>463.55</v>
          </cell>
          <cell r="J1349" t="str">
            <v>A形架前脚套</v>
          </cell>
        </row>
        <row r="1350">
          <cell r="E1350" t="str">
            <v>K1801.09.01.03</v>
          </cell>
          <cell r="F1350" t="str">
            <v>Втулка тягового рычага А-образной стойки</v>
          </cell>
          <cell r="G1350">
            <v>426.38</v>
          </cell>
          <cell r="J1350" t="str">
            <v>A形架后脚套</v>
          </cell>
        </row>
        <row r="1351">
          <cell r="E1351" t="str">
            <v>K1801.09.01.04</v>
          </cell>
          <cell r="F1351" t="str">
            <v>Втулка основания редуктора подъема</v>
          </cell>
          <cell r="G1351">
            <v>259.76</v>
          </cell>
          <cell r="J1351" t="str">
            <v>提升减速箱地脚套</v>
          </cell>
        </row>
        <row r="1352">
          <cell r="E1352" t="str">
            <v>K1801.09.01.05</v>
          </cell>
          <cell r="F1352" t="str">
            <v>Втулка центральной цапфы</v>
          </cell>
          <cell r="G1352">
            <v>14369.48</v>
          </cell>
          <cell r="J1352" t="str">
            <v>中央枢轴套</v>
          </cell>
        </row>
        <row r="1353">
          <cell r="E1353" t="str">
            <v>K1801.09.01.06</v>
          </cell>
          <cell r="F1353" t="str">
            <v>Стакан редуктора поворота</v>
          </cell>
          <cell r="G1353">
            <v>2827.07</v>
          </cell>
          <cell r="J1353" t="str">
            <v>回转轴承套</v>
          </cell>
        </row>
        <row r="1354">
          <cell r="E1354" t="str">
            <v>K1801.09.01.07</v>
          </cell>
          <cell r="F1354" t="str">
            <v>Фиксирующий штифт</v>
          </cell>
          <cell r="G1354">
            <v>31.49</v>
          </cell>
          <cell r="J1354" t="str">
            <v>定位销</v>
          </cell>
        </row>
        <row r="1355">
          <cell r="E1355" t="str">
            <v>GB/T78 M20X40</v>
          </cell>
          <cell r="F1355" t="str">
            <v>Болт M20x40</v>
          </cell>
          <cell r="G1355">
            <v>2.0299999999999998</v>
          </cell>
          <cell r="J1355" t="str">
            <v>螺栓M20X40</v>
          </cell>
        </row>
        <row r="1356">
          <cell r="E1356" t="str">
            <v>K1805.10.01.00</v>
          </cell>
          <cell r="F1356" t="str">
            <v>Опорный рычаг</v>
          </cell>
          <cell r="G1356">
            <v>100117.33</v>
          </cell>
          <cell r="J1356" t="str">
            <v>压杆</v>
          </cell>
        </row>
        <row r="1357">
          <cell r="E1357" t="str">
            <v>K1801.10.02.00</v>
          </cell>
          <cell r="F1357" t="str">
            <v>Тяговый рычаг</v>
          </cell>
          <cell r="G1357">
            <v>11179.91</v>
          </cell>
          <cell r="J1357" t="str">
            <v>拉杆</v>
          </cell>
        </row>
        <row r="1358">
          <cell r="E1358" t="str">
            <v>K1801.10.01</v>
          </cell>
          <cell r="F1358" t="str">
            <v>Ось</v>
          </cell>
          <cell r="G1358">
            <v>779.51</v>
          </cell>
          <cell r="J1358" t="str">
            <v>销轴</v>
          </cell>
        </row>
        <row r="1359">
          <cell r="E1359" t="str">
            <v>K1801.10.02</v>
          </cell>
          <cell r="F1359" t="str">
            <v>Ось</v>
          </cell>
          <cell r="G1359">
            <v>794.82</v>
          </cell>
          <cell r="J1359" t="str">
            <v>销轴</v>
          </cell>
        </row>
        <row r="1360">
          <cell r="E1360" t="str">
            <v>K1801.10.03</v>
          </cell>
          <cell r="F1360" t="str">
            <v>Штифт</v>
          </cell>
          <cell r="G1360">
            <v>55.98</v>
          </cell>
          <cell r="J1360" t="str">
            <v>销</v>
          </cell>
        </row>
        <row r="1361">
          <cell r="E1361" t="str">
            <v>GB/T91 8x50</v>
          </cell>
          <cell r="F1361" t="str">
            <v>Штифт 8x50</v>
          </cell>
          <cell r="G1361">
            <v>1.01</v>
          </cell>
          <cell r="J1361" t="str">
            <v>销 8x50</v>
          </cell>
        </row>
        <row r="1362">
          <cell r="E1362" t="str">
            <v>K1801.10.03.00</v>
          </cell>
          <cell r="F1362" t="str">
            <v>Балансировочная планка</v>
          </cell>
          <cell r="G1362">
            <v>21861.49</v>
          </cell>
          <cell r="J1362" t="str">
            <v>平衡架</v>
          </cell>
        </row>
        <row r="1363">
          <cell r="E1363" t="str">
            <v>K1801.10.04.00</v>
          </cell>
          <cell r="F1363" t="str">
            <v>Соединительная планка</v>
          </cell>
          <cell r="G1363">
            <v>4223.3500000000004</v>
          </cell>
          <cell r="J1363" t="str">
            <v>连接板</v>
          </cell>
        </row>
        <row r="1364">
          <cell r="E1364" t="str">
            <v>GB/T32.1 М24х70</v>
          </cell>
          <cell r="F1364" t="str">
            <v>Болт М24х70</v>
          </cell>
          <cell r="G1364">
            <v>10.41</v>
          </cell>
          <cell r="J1364" t="str">
            <v>螺栓М24х70</v>
          </cell>
        </row>
        <row r="1365">
          <cell r="E1365" t="str">
            <v>GS-ф2x2280</v>
          </cell>
          <cell r="F1365" t="str">
            <v>Проволока стальная ф2x2280</v>
          </cell>
          <cell r="G1365">
            <v>11.43</v>
          </cell>
          <cell r="J1365" t="str">
            <v>钢丝ф2x2280</v>
          </cell>
        </row>
        <row r="1366">
          <cell r="E1366" t="str">
            <v>K1801.10.05.00</v>
          </cell>
          <cell r="F1366" t="str">
            <v>Вал фланцевый</v>
          </cell>
          <cell r="G1366">
            <v>2212.8000000000002</v>
          </cell>
          <cell r="J1366" t="str">
            <v>法兰轴</v>
          </cell>
        </row>
        <row r="1367">
          <cell r="E1367" t="str">
            <v>K1801.10.04</v>
          </cell>
          <cell r="F1367" t="str">
            <v>Планка прокладочная</v>
          </cell>
          <cell r="G1367">
            <v>34.11</v>
          </cell>
          <cell r="J1367" t="str">
            <v>垫板</v>
          </cell>
        </row>
        <row r="1368">
          <cell r="E1368" t="str">
            <v>K1801.10.05</v>
          </cell>
          <cell r="F1368" t="str">
            <v>Планка прокладочная</v>
          </cell>
          <cell r="G1368">
            <v>39.36</v>
          </cell>
          <cell r="J1368" t="str">
            <v>垫板</v>
          </cell>
        </row>
        <row r="1369">
          <cell r="E1369" t="str">
            <v>K1801.10.06</v>
          </cell>
          <cell r="F1369" t="str">
            <v>Планка концевая</v>
          </cell>
          <cell r="G1369">
            <v>113.26</v>
          </cell>
          <cell r="J1369" t="str">
            <v>短板</v>
          </cell>
        </row>
        <row r="1370">
          <cell r="E1370" t="str">
            <v>K1801.10.06.00</v>
          </cell>
          <cell r="F1370" t="str">
            <v>Площадка ремонтная</v>
          </cell>
          <cell r="G1370">
            <v>5532.01</v>
          </cell>
          <cell r="J1370" t="str">
            <v>维修平台</v>
          </cell>
        </row>
        <row r="1371">
          <cell r="E1371" t="str">
            <v>TZQ7310.02.00</v>
          </cell>
          <cell r="F1371" t="str">
            <v>Штуцер смазочныйRЗ/8</v>
          </cell>
          <cell r="G1371">
            <v>4.09</v>
          </cell>
          <cell r="J1371" t="str">
            <v>油嘴R3/8</v>
          </cell>
        </row>
        <row r="1372">
          <cell r="E1372" t="str">
            <v>K1801.12.01</v>
          </cell>
          <cell r="F1372" t="str">
            <v>Цетральная цапфа</v>
          </cell>
          <cell r="G1372">
            <v>78407.12</v>
          </cell>
          <cell r="J1372" t="str">
            <v>中央枢轴</v>
          </cell>
        </row>
        <row r="1373">
          <cell r="E1373" t="str">
            <v>K1822.12.01</v>
          </cell>
          <cell r="F1373" t="str">
            <v>Сферическая гайка</v>
          </cell>
          <cell r="G1373">
            <v>27899.68</v>
          </cell>
          <cell r="J1373" t="str">
            <v>中央螺母</v>
          </cell>
        </row>
        <row r="1374">
          <cell r="E1374" t="str">
            <v>K1801.12.03</v>
          </cell>
          <cell r="F1374" t="str">
            <v>Сферическая шайба</v>
          </cell>
          <cell r="G1374">
            <v>11454.88</v>
          </cell>
          <cell r="J1374" t="str">
            <v>球面垫</v>
          </cell>
        </row>
        <row r="1375">
          <cell r="E1375" t="str">
            <v>K1801.12.04</v>
          </cell>
          <cell r="F1375" t="str">
            <v>Упорная шайба</v>
          </cell>
          <cell r="G1375">
            <v>2539.14</v>
          </cell>
          <cell r="J1375" t="str">
            <v>止推圈</v>
          </cell>
        </row>
        <row r="1376">
          <cell r="E1376" t="str">
            <v>K1801.12.01.00</v>
          </cell>
          <cell r="F1376" t="str">
            <v>Стопорное кольцо</v>
          </cell>
          <cell r="G1376">
            <v>2186.56</v>
          </cell>
          <cell r="J1376" t="str">
            <v>卡箍</v>
          </cell>
        </row>
        <row r="1377">
          <cell r="E1377" t="str">
            <v>K1801.12.02.00</v>
          </cell>
          <cell r="F1377" t="str">
            <v>Фиксирующее устройство</v>
          </cell>
          <cell r="G1377">
            <v>684.68</v>
          </cell>
          <cell r="J1377" t="str">
            <v>锁紧装置</v>
          </cell>
        </row>
        <row r="1378">
          <cell r="E1378" t="str">
            <v>K1801.12.03.00</v>
          </cell>
          <cell r="F1378" t="str">
            <v>Сальник</v>
          </cell>
          <cell r="G1378">
            <v>2342.0500000000002</v>
          </cell>
          <cell r="J1378" t="str">
            <v>J型油封</v>
          </cell>
        </row>
        <row r="1379">
          <cell r="E1379" t="str">
            <v>K1801.12.04.00</v>
          </cell>
          <cell r="F1379" t="str">
            <v>Кожух, деталь</v>
          </cell>
          <cell r="G1379">
            <v>568.51</v>
          </cell>
          <cell r="J1379" t="str">
            <v>护罩</v>
          </cell>
        </row>
        <row r="1380">
          <cell r="E1380" t="str">
            <v>K1801.12.05.00</v>
          </cell>
          <cell r="F1380" t="str">
            <v>Кожух, деталь</v>
          </cell>
          <cell r="G1380">
            <v>612.24</v>
          </cell>
          <cell r="J1380" t="str">
            <v>护罩</v>
          </cell>
        </row>
        <row r="1381">
          <cell r="E1381" t="str">
            <v>K1805.12.06.00</v>
          </cell>
          <cell r="F1381" t="str">
            <v>Кожух коллекторного кольца низкого напряжения</v>
          </cell>
          <cell r="G1381">
            <v>2077.2399999999998</v>
          </cell>
          <cell r="J1381" t="str">
            <v>低压集电环护罩</v>
          </cell>
        </row>
        <row r="1382">
          <cell r="E1382" t="str">
            <v>K1801.12.07.00</v>
          </cell>
          <cell r="F1382" t="str">
            <v>Соединительная панель</v>
          </cell>
          <cell r="G1382">
            <v>983.95</v>
          </cell>
          <cell r="J1382" t="str">
            <v>连接板</v>
          </cell>
        </row>
        <row r="1383">
          <cell r="E1383" t="str">
            <v>K1812.13.01</v>
          </cell>
          <cell r="F1383" t="str">
            <v>Ролик</v>
          </cell>
          <cell r="G1383">
            <v>1060.1500000000001</v>
          </cell>
          <cell r="J1383" t="str">
            <v>辊子</v>
          </cell>
        </row>
        <row r="1384">
          <cell r="E1384" t="str">
            <v>K1812.13.02</v>
          </cell>
          <cell r="F1384" t="str">
            <v>Втулка</v>
          </cell>
          <cell r="G1384">
            <v>46.38</v>
          </cell>
          <cell r="J1384" t="str">
            <v>套</v>
          </cell>
        </row>
        <row r="1385">
          <cell r="E1385" t="str">
            <v>K1812.13.03</v>
          </cell>
          <cell r="F1385" t="str">
            <v>Ось</v>
          </cell>
          <cell r="G1385">
            <v>265.04000000000002</v>
          </cell>
          <cell r="J1385" t="str">
            <v>轴</v>
          </cell>
        </row>
        <row r="1386">
          <cell r="E1386" t="str">
            <v>K1812.13.04</v>
          </cell>
          <cell r="F1386" t="str">
            <v>Шайба</v>
          </cell>
          <cell r="G1386">
            <v>145.77000000000001</v>
          </cell>
          <cell r="J1386" t="str">
            <v>垫片</v>
          </cell>
        </row>
        <row r="1387">
          <cell r="E1387" t="str">
            <v>K1812.13.05</v>
          </cell>
          <cell r="F1387" t="str">
            <v>Поворотный круг (сепаратор роликового круга)</v>
          </cell>
          <cell r="G1387">
            <v>56541.47</v>
          </cell>
          <cell r="J1387" t="str">
            <v>辊架</v>
          </cell>
        </row>
        <row r="1388">
          <cell r="E1388" t="str">
            <v>GB882 25x140</v>
          </cell>
          <cell r="F1388" t="str">
            <v>Штифт 25x140</v>
          </cell>
          <cell r="G1388">
            <v>11.43</v>
          </cell>
          <cell r="J1388" t="str">
            <v>销25x140</v>
          </cell>
        </row>
        <row r="1389">
          <cell r="E1389" t="str">
            <v>GB/T91 6.3x50</v>
          </cell>
          <cell r="F1389" t="str">
            <v>Шплинт 6.3x50</v>
          </cell>
          <cell r="G1389">
            <v>1.27</v>
          </cell>
          <cell r="J1389" t="str">
            <v>开口销6.3x50</v>
          </cell>
        </row>
        <row r="1390">
          <cell r="E1390" t="str">
            <v>K1812.15.02.00</v>
          </cell>
          <cell r="F1390" t="str">
            <v>Корпус задней балки</v>
          </cell>
          <cell r="G1390">
            <v>32046.29</v>
          </cell>
          <cell r="J1390" t="str">
            <v>行走电机座</v>
          </cell>
        </row>
        <row r="1391">
          <cell r="E1391" t="str">
            <v>K1801.15.03.00</v>
          </cell>
          <cell r="F1391" t="str">
            <v>Большая шестерня поворота</v>
          </cell>
          <cell r="G1391">
            <v>621514.44999999995</v>
          </cell>
          <cell r="J1391" t="str">
            <v>回转大齿圈</v>
          </cell>
        </row>
        <row r="1392">
          <cell r="E1392" t="str">
            <v>K1812.15.01</v>
          </cell>
          <cell r="F1392" t="str">
            <v>Гильза</v>
          </cell>
          <cell r="G1392">
            <v>364.42</v>
          </cell>
          <cell r="J1392" t="str">
            <v>套筒</v>
          </cell>
        </row>
        <row r="1393">
          <cell r="E1393" t="str">
            <v>K1812.15.05</v>
          </cell>
          <cell r="F1393" t="str">
            <v>Прижимная планка  нижнего рельса</v>
          </cell>
          <cell r="G1393">
            <v>50.8</v>
          </cell>
          <cell r="J1393" t="str">
            <v>下环轨压板</v>
          </cell>
        </row>
        <row r="1394">
          <cell r="E1394" t="str">
            <v>K1801.15.07.00</v>
          </cell>
          <cell r="F1394" t="str">
            <v xml:space="preserve">Дверца </v>
          </cell>
          <cell r="G1394">
            <v>63.41</v>
          </cell>
          <cell r="J1394" t="str">
            <v>安全门装置</v>
          </cell>
        </row>
        <row r="1395">
          <cell r="E1395" t="str">
            <v>K1801.15.17</v>
          </cell>
          <cell r="F1395" t="str">
            <v>Труба D146x4?5-2150</v>
          </cell>
          <cell r="G1395">
            <v>377.19</v>
          </cell>
          <cell r="J1395" t="str">
            <v>管 D146x4?5-2150</v>
          </cell>
        </row>
        <row r="1396">
          <cell r="E1396" t="str">
            <v>CY-M72*4-4/W</v>
          </cell>
          <cell r="F1396" t="str">
            <v>Супер-гайка М72*4</v>
          </cell>
          <cell r="G1396">
            <v>2870.15</v>
          </cell>
          <cell r="J1396" t="str">
            <v>超级螺母 М72*4</v>
          </cell>
        </row>
        <row r="1397">
          <cell r="E1397" t="str">
            <v>K1801.18.03.00</v>
          </cell>
          <cell r="F1397" t="str">
            <v>Опорный каток</v>
          </cell>
          <cell r="G1397">
            <v>34476.370000000003</v>
          </cell>
          <cell r="J1397" t="str">
            <v>支重轮</v>
          </cell>
        </row>
        <row r="1398">
          <cell r="E1398" t="str">
            <v>K1812.18.07.00</v>
          </cell>
          <cell r="F1398" t="str">
            <v>Корпус опоры правой гусеничной ленты</v>
          </cell>
          <cell r="G1398">
            <v>472316.19</v>
          </cell>
          <cell r="J1398" t="str">
            <v>右履带梁</v>
          </cell>
        </row>
        <row r="1399">
          <cell r="E1399" t="str">
            <v>K1812.18.08.00</v>
          </cell>
          <cell r="F1399" t="str">
            <v>Корпус опоры левой гусеничной ленты</v>
          </cell>
          <cell r="G1399">
            <v>472316.19</v>
          </cell>
          <cell r="J1399" t="str">
            <v>左履带梁</v>
          </cell>
        </row>
        <row r="1400">
          <cell r="E1400" t="str">
            <v>K1801.18.09.00</v>
          </cell>
          <cell r="F1400" t="str">
            <v>Задний опорный башмак</v>
          </cell>
          <cell r="G1400">
            <v>6405.09</v>
          </cell>
          <cell r="J1400" t="str">
            <v>后拖带装置</v>
          </cell>
        </row>
        <row r="1401">
          <cell r="E1401" t="str">
            <v>K1801.18.10.00</v>
          </cell>
          <cell r="F1401" t="str">
            <v>Защитная крышка</v>
          </cell>
          <cell r="G1401">
            <v>77.3</v>
          </cell>
          <cell r="J1401" t="str">
            <v>保护帽</v>
          </cell>
        </row>
        <row r="1402">
          <cell r="E1402" t="str">
            <v>K1801.18.01</v>
          </cell>
          <cell r="F1402" t="str">
            <v>Гайка M90X4</v>
          </cell>
          <cell r="G1402">
            <v>3047.94</v>
          </cell>
          <cell r="J1402" t="str">
            <v>螺母M90X4</v>
          </cell>
        </row>
        <row r="1403">
          <cell r="E1403" t="str">
            <v>K1801.18.01.04</v>
          </cell>
          <cell r="F1403" t="str">
            <v>Кольцо упорное</v>
          </cell>
          <cell r="G1403">
            <v>81.37</v>
          </cell>
          <cell r="J1403" t="str">
            <v>挡圈</v>
          </cell>
        </row>
        <row r="1404">
          <cell r="E1404" t="str">
            <v>K1801.18.03.01</v>
          </cell>
          <cell r="F1404" t="str">
            <v>Опорный каток</v>
          </cell>
          <cell r="G1404">
            <v>29816.79</v>
          </cell>
          <cell r="J1404" t="str">
            <v>支重轮</v>
          </cell>
        </row>
        <row r="1405">
          <cell r="E1405" t="str">
            <v>K1801.18.03.03</v>
          </cell>
          <cell r="F1405" t="str">
            <v>Ось опорного катка</v>
          </cell>
          <cell r="G1405">
            <v>4638.17</v>
          </cell>
          <cell r="J1405" t="str">
            <v>支重轮轴</v>
          </cell>
        </row>
        <row r="1406">
          <cell r="E1406" t="str">
            <v>GB/T31.1 М36X140</v>
          </cell>
          <cell r="F1406" t="str">
            <v xml:space="preserve">болт </v>
          </cell>
          <cell r="G1406">
            <v>13.97</v>
          </cell>
          <cell r="J1406" t="str">
            <v xml:space="preserve">螺栓 </v>
          </cell>
        </row>
        <row r="1407">
          <cell r="E1407" t="str">
            <v>GB/T6178 M36</v>
          </cell>
          <cell r="F1407" t="str">
            <v>гайка</v>
          </cell>
          <cell r="G1407">
            <v>2.41</v>
          </cell>
          <cell r="J1407" t="str">
            <v>螺母</v>
          </cell>
        </row>
        <row r="1408">
          <cell r="E1408" t="str">
            <v>GB/T97.1 36</v>
          </cell>
          <cell r="F1408" t="str">
            <v xml:space="preserve">шайба </v>
          </cell>
          <cell r="G1408">
            <v>0.51</v>
          </cell>
          <cell r="J1408" t="str">
            <v>垫圈</v>
          </cell>
        </row>
        <row r="1409">
          <cell r="E1409" t="str">
            <v>K1801.18.05.01</v>
          </cell>
          <cell r="F1409" t="str">
            <v>Колесо направляющее переднее</v>
          </cell>
          <cell r="G1409">
            <v>88157.27</v>
          </cell>
          <cell r="J1409" t="str">
            <v>前导向轮</v>
          </cell>
        </row>
        <row r="1410">
          <cell r="E1410" t="str">
            <v>K1805.22.11.00</v>
          </cell>
          <cell r="F1410" t="str">
            <v>Фильтр</v>
          </cell>
          <cell r="G1410">
            <v>2907.65</v>
          </cell>
          <cell r="J1410" t="str">
            <v>滤芯</v>
          </cell>
        </row>
        <row r="1411">
          <cell r="E1411" t="str">
            <v>K1805.22.01</v>
          </cell>
          <cell r="F1411" t="str">
            <v>Вентилятор</v>
          </cell>
          <cell r="G1411">
            <v>5212.08</v>
          </cell>
          <cell r="J1411" t="str">
            <v>风机</v>
          </cell>
        </row>
        <row r="1412">
          <cell r="E1412" t="str">
            <v>K1817.23.02.05.00</v>
          </cell>
          <cell r="F1412" t="str">
            <v>Короб вентиляционный</v>
          </cell>
          <cell r="G1412">
            <v>104.96</v>
          </cell>
          <cell r="J1412" t="str">
            <v>通风管</v>
          </cell>
        </row>
        <row r="1413">
          <cell r="E1413" t="str">
            <v>K1817.23.02.06.00</v>
          </cell>
          <cell r="F1413" t="str">
            <v>Короб вентиляционный</v>
          </cell>
          <cell r="G1413">
            <v>240.52</v>
          </cell>
          <cell r="J1413" t="str">
            <v>通风管</v>
          </cell>
        </row>
        <row r="1414">
          <cell r="E1414" t="str">
            <v>K1817.23.02.07.00</v>
          </cell>
          <cell r="F1414" t="str">
            <v>Короб вентиляционный</v>
          </cell>
          <cell r="G1414">
            <v>240.52</v>
          </cell>
          <cell r="J1414" t="str">
            <v>通风管</v>
          </cell>
        </row>
        <row r="1415">
          <cell r="E1415" t="str">
            <v>K1606.23.03.03.00</v>
          </cell>
          <cell r="F1415" t="str">
            <v>Вентиляционная установка 2.2кW</v>
          </cell>
          <cell r="G1415">
            <v>839.29</v>
          </cell>
          <cell r="J1415" t="str">
            <v>风机2.2кw</v>
          </cell>
        </row>
        <row r="1416">
          <cell r="E1416" t="str">
            <v>K1801.23.01.02</v>
          </cell>
          <cell r="F1416" t="str">
            <v>Виброизолятор кS4-A620</v>
          </cell>
          <cell r="G1416">
            <v>839.29</v>
          </cell>
          <cell r="J1416" t="str">
            <v>缓震器кS4-A620</v>
          </cell>
        </row>
        <row r="1417">
          <cell r="E1417" t="str">
            <v>K1801.23.01.04</v>
          </cell>
          <cell r="F1417" t="str">
            <v>Амортизационная прокладка</v>
          </cell>
          <cell r="G1417">
            <v>51.02</v>
          </cell>
          <cell r="J1417" t="str">
            <v>缓冲垫</v>
          </cell>
        </row>
        <row r="1418">
          <cell r="E1418" t="str">
            <v>K1817.23.04.02.00</v>
          </cell>
          <cell r="F1418" t="str">
            <v>Изолятор</v>
          </cell>
          <cell r="G1418">
            <v>238.09</v>
          </cell>
          <cell r="J1418" t="str">
            <v>绝缘子</v>
          </cell>
        </row>
        <row r="1419">
          <cell r="E1419" t="str">
            <v>K1801.23.04.01</v>
          </cell>
          <cell r="F1419" t="str">
            <v>Кольцо коллекторное (1)</v>
          </cell>
          <cell r="G1419">
            <v>4648.1099999999997</v>
          </cell>
          <cell r="J1419" t="str">
            <v>集电环(1)</v>
          </cell>
        </row>
        <row r="1420">
          <cell r="E1420" t="str">
            <v>K1801.23.04.02</v>
          </cell>
          <cell r="F1420" t="str">
            <v>Кольцо коллекторное (2)</v>
          </cell>
          <cell r="G1420">
            <v>3428.93</v>
          </cell>
          <cell r="J1420" t="str">
            <v>集电环(2)</v>
          </cell>
        </row>
        <row r="1421">
          <cell r="E1421" t="str">
            <v>K1801.23.04.03</v>
          </cell>
          <cell r="F1421" t="str">
            <v>Кольцо коллекторное (3)</v>
          </cell>
          <cell r="G1421">
            <v>2793.94</v>
          </cell>
          <cell r="J1421" t="str">
            <v>集电环(3)</v>
          </cell>
        </row>
        <row r="1422">
          <cell r="E1422" t="str">
            <v>K1801.23.04.04</v>
          </cell>
          <cell r="F1422" t="str">
            <v>Кольцо коллекторное (4)</v>
          </cell>
          <cell r="G1422">
            <v>1600.17</v>
          </cell>
          <cell r="J1422" t="str">
            <v>集电环(4)</v>
          </cell>
        </row>
        <row r="1423">
          <cell r="E1423" t="str">
            <v>K1802.01.04.01</v>
          </cell>
          <cell r="F1423" t="str">
            <v>Втулка</v>
          </cell>
          <cell r="G1423">
            <v>901.68</v>
          </cell>
          <cell r="J1423" t="str">
            <v>套</v>
          </cell>
        </row>
        <row r="1424">
          <cell r="E1424" t="str">
            <v>K1801.03.23.01</v>
          </cell>
          <cell r="F1424" t="str">
            <v>Буферный блок</v>
          </cell>
          <cell r="G1424">
            <v>2935.21</v>
          </cell>
          <cell r="J1424" t="str">
            <v>缓冲块</v>
          </cell>
        </row>
        <row r="1425">
          <cell r="E1425" t="str">
            <v>SPX-06x25</v>
          </cell>
          <cell r="F1425" t="str">
            <v>Масляный фильтр</v>
          </cell>
          <cell r="G1425">
            <v>114.66</v>
          </cell>
          <cell r="J1425" t="str">
            <v>油滤</v>
          </cell>
        </row>
        <row r="1426">
          <cell r="E1426" t="str">
            <v>KDDZQ</v>
          </cell>
          <cell r="F1426" t="str">
            <v>Набор сопротивлений двигателя механизма ОДК</v>
          </cell>
          <cell r="G1426">
            <v>3528.79</v>
          </cell>
          <cell r="J1426" t="str">
            <v>开斗电阻器</v>
          </cell>
        </row>
        <row r="1427">
          <cell r="E1427" t="str">
            <v>3NE3338-8</v>
          </cell>
          <cell r="F1427" t="str">
            <v>Предохранитель</v>
          </cell>
          <cell r="G1427">
            <v>117.65</v>
          </cell>
          <cell r="J1427" t="str">
            <v>保险</v>
          </cell>
        </row>
        <row r="1428">
          <cell r="E1428" t="str">
            <v>6SY7000-0AB74</v>
          </cell>
          <cell r="F1428" t="str">
            <v>Быстроплавкий предохранитель</v>
          </cell>
          <cell r="G1428">
            <v>152.72</v>
          </cell>
          <cell r="J1428" t="str">
            <v>熔断器,630A,1000V</v>
          </cell>
        </row>
        <row r="1429">
          <cell r="E1429" t="str">
            <v>RN3-6/60A</v>
          </cell>
          <cell r="F1429" t="str">
            <v>Высоковольтный предохранитель</v>
          </cell>
          <cell r="G1429">
            <v>62.89</v>
          </cell>
          <cell r="J1429" t="str">
            <v>高压熔断器 25A</v>
          </cell>
        </row>
        <row r="1430">
          <cell r="E1430" t="str">
            <v>XB2-BVM3LC</v>
          </cell>
          <cell r="F1430" t="str">
            <v>Индикаторная лампа</v>
          </cell>
          <cell r="G1430">
            <v>4.5</v>
          </cell>
          <cell r="J1430" t="str">
            <v>指示灯</v>
          </cell>
        </row>
        <row r="1431">
          <cell r="E1431" t="str">
            <v>XB2-BVB3LC</v>
          </cell>
          <cell r="F1431" t="str">
            <v>Индикаторная лампа</v>
          </cell>
          <cell r="G1431">
            <v>4.5</v>
          </cell>
          <cell r="J1431" t="str">
            <v>指示灯（绿色，24VDC）</v>
          </cell>
        </row>
        <row r="1432">
          <cell r="E1432" t="str">
            <v>6SY7000-0AC42</v>
          </cell>
          <cell r="F1432" t="str">
            <v xml:space="preserve">Предохранитель вентилятора (для инвертора AFE/800/1000кW) </v>
          </cell>
          <cell r="G1432">
            <v>35.04</v>
          </cell>
          <cell r="J1432" t="str">
            <v>风机熔断器 30A. 250V</v>
          </cell>
        </row>
        <row r="1433">
          <cell r="E1433" t="str">
            <v>K1802.01.14</v>
          </cell>
          <cell r="F1433" t="str">
            <v>Стопор штифта ковша</v>
          </cell>
          <cell r="G1433">
            <v>158.54</v>
          </cell>
          <cell r="J1433" t="str">
            <v>铲斗销轴挡板</v>
          </cell>
        </row>
        <row r="1434">
          <cell r="E1434" t="str">
            <v>K1812.01.03</v>
          </cell>
          <cell r="F1434" t="str">
            <v>Стопор штифта изогнутой балки</v>
          </cell>
          <cell r="G1434">
            <v>49.12</v>
          </cell>
          <cell r="J1434" t="str">
            <v>铲斗销轴挡板</v>
          </cell>
        </row>
        <row r="1435">
          <cell r="E1435" t="str">
            <v>K1801.01.03.01.01.00</v>
          </cell>
          <cell r="F1435" t="str">
            <v>Износостойкая пластина</v>
          </cell>
          <cell r="G1435">
            <v>1072.9000000000001</v>
          </cell>
          <cell r="J1435" t="str">
            <v xml:space="preserve">耐磨板 </v>
          </cell>
        </row>
        <row r="1436">
          <cell r="E1436" t="str">
            <v>K1801.02.03.00</v>
          </cell>
          <cell r="F1436" t="str">
            <v xml:space="preserve">Стопор рукояти </v>
          </cell>
          <cell r="G1436">
            <v>911.13</v>
          </cell>
          <cell r="J1436" t="str">
            <v>后挡板</v>
          </cell>
        </row>
        <row r="1437">
          <cell r="E1437" t="str">
            <v>K1801.02.00</v>
          </cell>
          <cell r="F1437" t="str">
            <v>Рукоять ковша</v>
          </cell>
          <cell r="G1437">
            <v>747555.33</v>
          </cell>
          <cell r="J1437" t="str">
            <v>斗杆</v>
          </cell>
        </row>
        <row r="1438">
          <cell r="E1438" t="str">
            <v>K1801.03.04.03</v>
          </cell>
          <cell r="F1438" t="str">
            <v>Буферный блок</v>
          </cell>
          <cell r="G1438">
            <v>88.2</v>
          </cell>
          <cell r="J1438" t="str">
            <v>缓冲块</v>
          </cell>
        </row>
        <row r="1439">
          <cell r="E1439" t="str">
            <v>K1812.03.21.01.00</v>
          </cell>
          <cell r="F1439" t="str">
            <v>Седловой блок</v>
          </cell>
          <cell r="G1439">
            <v>40669.64</v>
          </cell>
          <cell r="J1439" t="str">
            <v>鞍座</v>
          </cell>
        </row>
        <row r="1440">
          <cell r="E1440" t="str">
            <v>K1801.03.18.01</v>
          </cell>
          <cell r="F1440" t="str">
            <v>Телескопическая труба</v>
          </cell>
          <cell r="G1440">
            <v>108.06</v>
          </cell>
          <cell r="J1440" t="str">
            <v>伸缩管</v>
          </cell>
        </row>
        <row r="1441">
          <cell r="E1441" t="str">
            <v>K1801.04.02.01.00</v>
          </cell>
          <cell r="F1441" t="str">
            <v>Рычаг механизма ОДК</v>
          </cell>
          <cell r="G1441">
            <v>2216.4899999999998</v>
          </cell>
          <cell r="J1441" t="str">
            <v xml:space="preserve">开斗杠杆 </v>
          </cell>
        </row>
        <row r="1442">
          <cell r="E1442" t="str">
            <v>K1801.07.01.02</v>
          </cell>
          <cell r="F1442" t="str">
            <v>Вал поворота</v>
          </cell>
          <cell r="G1442">
            <v>29902.21</v>
          </cell>
          <cell r="J1442" t="str">
            <v>回转轴</v>
          </cell>
        </row>
        <row r="1443">
          <cell r="E1443" t="str">
            <v>K1801.07.03.02.00</v>
          </cell>
          <cell r="F1443" t="str">
            <v>Муфта двигателя поворота</v>
          </cell>
          <cell r="G1443">
            <v>2278.5100000000002</v>
          </cell>
          <cell r="J1443" t="str">
            <v>回转联轴器</v>
          </cell>
        </row>
        <row r="1444">
          <cell r="E1444" t="str">
            <v>K1803.11.41.00</v>
          </cell>
          <cell r="F1444" t="str">
            <v>Направляющая опора защиты подъёмных тросов</v>
          </cell>
          <cell r="G1444">
            <v>7165.47</v>
          </cell>
          <cell r="J1444" t="str">
            <v>提升绳防护导向托架</v>
          </cell>
        </row>
        <row r="1445">
          <cell r="E1445" t="str">
            <v>0055 0000 65</v>
          </cell>
          <cell r="F1445" t="str">
            <v>Дверный замок</v>
          </cell>
          <cell r="G1445">
            <v>713.2</v>
          </cell>
          <cell r="J1445" t="str">
            <v>门锁</v>
          </cell>
        </row>
        <row r="1446">
          <cell r="E1446" t="str">
            <v>K1902.12.08</v>
          </cell>
          <cell r="F1446" t="str">
            <v>Нейлоновая втулка</v>
          </cell>
          <cell r="G1446">
            <v>16.53</v>
          </cell>
          <cell r="J1446" t="str">
            <v>尼龙套</v>
          </cell>
        </row>
        <row r="1447">
          <cell r="E1447" t="str">
            <v>K1801.13.00</v>
          </cell>
          <cell r="F1447" t="str">
            <v>Установка роликового круга</v>
          </cell>
          <cell r="G1447">
            <v>148472.9</v>
          </cell>
          <cell r="J1447" t="str">
            <v>回转辊盘</v>
          </cell>
        </row>
        <row r="1448">
          <cell r="E1448" t="str">
            <v>K1802.16.02.00</v>
          </cell>
          <cell r="F1448" t="str">
            <v>Основание электродвигателя хода</v>
          </cell>
          <cell r="G1448">
            <v>120451.05</v>
          </cell>
          <cell r="J1448" t="str">
            <v>行走电机底座</v>
          </cell>
        </row>
        <row r="1449">
          <cell r="E1449" t="str">
            <v>K1802.18.04.04</v>
          </cell>
          <cell r="F1449" t="str">
            <v>Болт М36х140</v>
          </cell>
          <cell r="G1449">
            <v>8.27</v>
          </cell>
          <cell r="J1449" t="str">
            <v>螺栓M36X140</v>
          </cell>
        </row>
        <row r="1450">
          <cell r="E1450" t="str">
            <v>K1801.18.09.01</v>
          </cell>
          <cell r="F1450" t="str">
            <v>Задний башмак</v>
          </cell>
          <cell r="G1450">
            <v>5587.75</v>
          </cell>
          <cell r="J1450" t="str">
            <v>后托带铸件</v>
          </cell>
        </row>
        <row r="1451">
          <cell r="E1451" t="str">
            <v>K1801.18.01.05</v>
          </cell>
          <cell r="F1451" t="str">
            <v>Штифт стопорный</v>
          </cell>
          <cell r="G1451">
            <v>5643.57</v>
          </cell>
          <cell r="J1451" t="str">
            <v>后支轮轴</v>
          </cell>
        </row>
        <row r="1452">
          <cell r="E1452" t="str">
            <v>K1801.18.06.01</v>
          </cell>
          <cell r="F1452" t="str">
            <v>Передний башмак</v>
          </cell>
          <cell r="G1452">
            <v>6504.36</v>
          </cell>
          <cell r="J1452" t="str">
            <v>前托带铸件</v>
          </cell>
        </row>
        <row r="1453">
          <cell r="E1453" t="str">
            <v>K1602.23.04.02.04</v>
          </cell>
          <cell r="F1453" t="str">
            <v>Изолятор</v>
          </cell>
          <cell r="G1453">
            <v>107.22</v>
          </cell>
          <cell r="J1453" t="str">
            <v>绝缘子</v>
          </cell>
        </row>
        <row r="1454">
          <cell r="E1454" t="str">
            <v>K1602.23.04.02.05</v>
          </cell>
          <cell r="F1454" t="str">
            <v>Пружина</v>
          </cell>
          <cell r="G1454">
            <v>3.86</v>
          </cell>
          <cell r="J1454" t="str">
            <v>弹簧</v>
          </cell>
        </row>
        <row r="1455">
          <cell r="E1455" t="str">
            <v>K1902.23.06.03.00</v>
          </cell>
          <cell r="F1455" t="str">
            <v>Вентилятор 3 квт</v>
          </cell>
          <cell r="G1455">
            <v>749.17</v>
          </cell>
          <cell r="J1455" t="str">
            <v>通风装置3kw</v>
          </cell>
        </row>
        <row r="1456">
          <cell r="E1456" t="str">
            <v>K1802.24.02.02</v>
          </cell>
          <cell r="F1456" t="str">
            <v>Звездочка</v>
          </cell>
          <cell r="G1456">
            <v>509.6</v>
          </cell>
          <cell r="J1456" t="str">
            <v>链轮</v>
          </cell>
        </row>
        <row r="1457">
          <cell r="E1457" t="str">
            <v>K1802.24.02.04</v>
          </cell>
          <cell r="F1457" t="str">
            <v>Звездочка</v>
          </cell>
          <cell r="G1457">
            <v>2211.52</v>
          </cell>
          <cell r="J1457" t="str">
            <v>链轮</v>
          </cell>
        </row>
        <row r="1458">
          <cell r="E1458" t="str">
            <v>K1802.24.02.07</v>
          </cell>
          <cell r="F1458" t="str">
            <v>Подшипник</v>
          </cell>
          <cell r="G1458">
            <v>1118.6500000000001</v>
          </cell>
          <cell r="J1458" t="str">
            <v>轴承</v>
          </cell>
        </row>
        <row r="1459">
          <cell r="E1459" t="str">
            <v>K1802.24.03.02.00</v>
          </cell>
          <cell r="F1459" t="str">
            <v>Направляющий ролик 1</v>
          </cell>
          <cell r="G1459">
            <v>885.35</v>
          </cell>
          <cell r="J1459" t="str">
            <v>导向辊1</v>
          </cell>
        </row>
        <row r="1460">
          <cell r="E1460" t="str">
            <v>K1802.24.03.03.00</v>
          </cell>
          <cell r="F1460" t="str">
            <v>Направляющий ролик 2</v>
          </cell>
          <cell r="G1460">
            <v>1681.05</v>
          </cell>
          <cell r="J1460" t="str">
            <v>导向辊2</v>
          </cell>
        </row>
        <row r="1461">
          <cell r="E1461" t="str">
            <v>K1802.24.03.04.00</v>
          </cell>
          <cell r="F1461" t="str">
            <v>Боковой направляющий ролик 1</v>
          </cell>
          <cell r="G1461">
            <v>28.24</v>
          </cell>
          <cell r="J1461" t="str">
            <v>侧导向辊1</v>
          </cell>
        </row>
        <row r="1462">
          <cell r="E1462" t="str">
            <v>K1802.24.03.05.00</v>
          </cell>
          <cell r="F1462" t="str">
            <v>Боковой направляющий ролик 2</v>
          </cell>
          <cell r="G1462">
            <v>29.47</v>
          </cell>
          <cell r="J1462" t="str">
            <v>侧导向辊2</v>
          </cell>
        </row>
        <row r="1463">
          <cell r="E1463" t="str">
            <v>K1802.24.03.06.00</v>
          </cell>
          <cell r="F1463" t="str">
            <v>Опорное колесо</v>
          </cell>
          <cell r="G1463">
            <v>195.24</v>
          </cell>
          <cell r="J1463" t="str">
            <v>支轮</v>
          </cell>
        </row>
        <row r="1464">
          <cell r="E1464" t="str">
            <v>K1802.24.05.09</v>
          </cell>
          <cell r="F1464" t="str">
            <v>Цепь</v>
          </cell>
          <cell r="G1464">
            <v>116.65</v>
          </cell>
          <cell r="J1464" t="str">
            <v>链条</v>
          </cell>
        </row>
        <row r="1465">
          <cell r="E1465" t="str">
            <v>DLJTHX</v>
          </cell>
          <cell r="F1465" t="str">
            <v>Высоковольтный контактор кабельного барабана</v>
          </cell>
          <cell r="G1465">
            <v>1102.67</v>
          </cell>
          <cell r="J1465" t="str">
            <v>电缆卷筒高压滑靴</v>
          </cell>
        </row>
        <row r="1466">
          <cell r="E1466" t="str">
            <v>DLJTR</v>
          </cell>
          <cell r="F1466" t="str">
            <v>Прерыватель кабельного барабана</v>
          </cell>
          <cell r="G1466">
            <v>827.31</v>
          </cell>
          <cell r="J1466" t="str">
            <v>电缆卷筒用熔断器</v>
          </cell>
        </row>
        <row r="1467">
          <cell r="E1467" t="str">
            <v>K1701.30.09.00</v>
          </cell>
          <cell r="F1467" t="str">
            <v>Цепь открывания ковша</v>
          </cell>
          <cell r="G1467">
            <v>239.25</v>
          </cell>
          <cell r="J1467" t="str">
            <v>链条组件</v>
          </cell>
        </row>
        <row r="1468">
          <cell r="E1468" t="str">
            <v>K1601.30.06A</v>
          </cell>
          <cell r="F1468" t="str">
            <v>Держатель рычага засова</v>
          </cell>
          <cell r="G1468">
            <v>132.54</v>
          </cell>
          <cell r="J1468" t="str">
            <v>斗拴杠杆支架</v>
          </cell>
        </row>
        <row r="1469">
          <cell r="E1469" t="str">
            <v>SCI-2U943C</v>
          </cell>
          <cell r="F1469" t="str">
            <v>Продувной клапан в сборе</v>
          </cell>
          <cell r="G1469">
            <v>358.46</v>
          </cell>
          <cell r="J1469" t="str">
            <v>喷射阀总成</v>
          </cell>
        </row>
        <row r="1470">
          <cell r="E1470" t="str">
            <v>821300501</v>
          </cell>
          <cell r="F1470" t="str">
            <v>Маслораспылитель</v>
          </cell>
          <cell r="G1470">
            <v>1464.85</v>
          </cell>
          <cell r="J1470" t="str">
            <v>气动三联件</v>
          </cell>
        </row>
        <row r="1471">
          <cell r="E1471">
            <v>5631310100</v>
          </cell>
          <cell r="F1471" t="str">
            <v>Ручной распределительный клапан</v>
          </cell>
          <cell r="G1471">
            <v>1348.25</v>
          </cell>
          <cell r="J1471" t="str">
            <v>二位五通受动控制阀</v>
          </cell>
        </row>
        <row r="1472">
          <cell r="E1472" t="str">
            <v>5634400100</v>
          </cell>
          <cell r="F1472" t="str">
            <v>Механический распределительный клапан</v>
          </cell>
          <cell r="G1472">
            <v>525.91</v>
          </cell>
          <cell r="J1472" t="str">
            <v>机动先导阀</v>
          </cell>
        </row>
        <row r="1473">
          <cell r="E1473" t="str">
            <v>5716006520(R432006084)</v>
          </cell>
          <cell r="F1473" t="str">
            <v>Двойной пневматический двухпозиционный пятиходовой клапан</v>
          </cell>
          <cell r="G1473">
            <v>2098.66</v>
          </cell>
          <cell r="J1473" t="str">
            <v>双气控二位五通阀</v>
          </cell>
        </row>
        <row r="1474">
          <cell r="E1474" t="str">
            <v>345125000</v>
          </cell>
          <cell r="F1474" t="str">
            <v>Дроссель</v>
          </cell>
          <cell r="G1474">
            <v>360.94</v>
          </cell>
          <cell r="J1474" t="str">
            <v>节流阀(总成)</v>
          </cell>
        </row>
        <row r="1475">
          <cell r="E1475" t="str">
            <v>3410582000/0821100013</v>
          </cell>
          <cell r="F1475" t="str">
            <v>Реле давления</v>
          </cell>
          <cell r="G1475">
            <v>388.23</v>
          </cell>
          <cell r="J1475" t="str">
            <v>压力(继电)器</v>
          </cell>
        </row>
        <row r="1476">
          <cell r="E1476" t="str">
            <v>YBM-4</v>
          </cell>
          <cell r="F1476" t="str">
            <v>Электродвигатель маслонасоса</v>
          </cell>
          <cell r="G1476">
            <v>3801.65</v>
          </cell>
          <cell r="J1476" t="str">
            <v>油泵电机</v>
          </cell>
        </row>
        <row r="1477">
          <cell r="E1477" t="str">
            <v>CT-05-B-50</v>
          </cell>
          <cell r="F1477" t="str">
            <v>Перепускной клапан</v>
          </cell>
          <cell r="G1477">
            <v>950.1</v>
          </cell>
          <cell r="J1477" t="str">
            <v>溢流阀</v>
          </cell>
        </row>
        <row r="1478">
          <cell r="E1478" t="str">
            <v>DSG-01-3C4-A220-N-50</v>
          </cell>
          <cell r="F1478" t="str">
            <v>Электромагнитный клапан переключения--гидравлический</v>
          </cell>
          <cell r="G1478">
            <v>1800.98</v>
          </cell>
          <cell r="J1478" t="str">
            <v>电磁换向阀液压</v>
          </cell>
        </row>
        <row r="1479">
          <cell r="E1479" t="str">
            <v>DG18V-3-22A-P-60</v>
          </cell>
          <cell r="F1479" t="str">
            <v>Пневматический клапан переключения</v>
          </cell>
          <cell r="G1479">
            <v>2341.77</v>
          </cell>
          <cell r="J1479" t="str">
            <v>气控换向阀</v>
          </cell>
        </row>
        <row r="1480">
          <cell r="E1480" t="str">
            <v>MSW-01-X-30</v>
          </cell>
          <cell r="F1480" t="str">
            <v>Однонаправленный дроссель по типу накладывания</v>
          </cell>
          <cell r="G1480">
            <v>257.99</v>
          </cell>
          <cell r="J1480" t="str">
            <v>叠加式单向节流阀</v>
          </cell>
        </row>
        <row r="1481">
          <cell r="E1481" t="str">
            <v>DV-10-2-10/G3/8</v>
          </cell>
          <cell r="F1481" t="str">
            <v>Точный дроссель</v>
          </cell>
          <cell r="G1481">
            <v>363.42</v>
          </cell>
          <cell r="J1481" t="str">
            <v>精密节流阀</v>
          </cell>
        </row>
        <row r="1482">
          <cell r="E1482" t="str">
            <v>S8A1 G3/8</v>
          </cell>
          <cell r="F1482" t="str">
            <v>Однонаправленный клапан</v>
          </cell>
          <cell r="G1482">
            <v>153.80000000000001</v>
          </cell>
          <cell r="J1482" t="str">
            <v>单向阀</v>
          </cell>
        </row>
        <row r="1483">
          <cell r="E1483" t="str">
            <v>PAF1-0.035-0.55-40-L</v>
          </cell>
          <cell r="F1483" t="str">
            <v>Фильтр воздуха</v>
          </cell>
          <cell r="G1483">
            <v>73.180000000000007</v>
          </cell>
          <cell r="J1483" t="str">
            <v>空滤器</v>
          </cell>
        </row>
        <row r="1484">
          <cell r="E1484" t="str">
            <v>Q11F-16P-3/4</v>
          </cell>
          <cell r="F1484" t="str">
            <v>Шаровой клапан</v>
          </cell>
          <cell r="G1484">
            <v>69.62</v>
          </cell>
          <cell r="J1484" t="str">
            <v>球阀</v>
          </cell>
        </row>
        <row r="1485">
          <cell r="E1485" t="str">
            <v>Q11F-16P-1/2</v>
          </cell>
          <cell r="F1485" t="str">
            <v>Шаровой клапан</v>
          </cell>
          <cell r="G1485">
            <v>47.77</v>
          </cell>
          <cell r="J1485" t="str">
            <v>球阀</v>
          </cell>
        </row>
        <row r="1486">
          <cell r="E1486" t="str">
            <v>YWZ-125T</v>
          </cell>
          <cell r="F1486" t="str">
            <v>Датчик уровня и температуры</v>
          </cell>
          <cell r="G1486">
            <v>81.900000000000006</v>
          </cell>
          <cell r="J1486" t="str">
            <v>液位液温计</v>
          </cell>
        </row>
        <row r="1487">
          <cell r="E1487" t="str">
            <v>L17-600-OPKA</v>
          </cell>
          <cell r="F1487" t="str">
            <v>Маслораспылитель</v>
          </cell>
          <cell r="G1487">
            <v>506.06</v>
          </cell>
          <cell r="J1487" t="str">
            <v>油雾器</v>
          </cell>
        </row>
        <row r="1488">
          <cell r="E1488" t="str">
            <v>9735000000</v>
          </cell>
          <cell r="F1488" t="str">
            <v>Быстрый воздушно-разгрузочный клапан</v>
          </cell>
          <cell r="G1488">
            <v>478.77</v>
          </cell>
          <cell r="J1488" t="str">
            <v>快速排气阀</v>
          </cell>
        </row>
        <row r="1489">
          <cell r="E1489" t="str">
            <v>22064687</v>
          </cell>
          <cell r="F1489" t="str">
            <v>Блок клапана управления температурой</v>
          </cell>
          <cell r="G1489">
            <v>411.79</v>
          </cell>
          <cell r="J1489" t="str">
            <v>温控阀组件</v>
          </cell>
        </row>
        <row r="1490">
          <cell r="E1490" t="str">
            <v>22995427</v>
          </cell>
          <cell r="F1490" t="str">
            <v>Выпускной электромагнитный клапан</v>
          </cell>
          <cell r="G1490">
            <v>926.54</v>
          </cell>
          <cell r="J1490" t="str">
            <v>放气电磁阀(组件)</v>
          </cell>
        </row>
        <row r="1491">
          <cell r="E1491" t="str">
            <v>38342028</v>
          </cell>
          <cell r="F1491" t="str">
            <v>Предварительный фильтр</v>
          </cell>
          <cell r="G1491">
            <v>564.36</v>
          </cell>
          <cell r="J1491" t="str">
            <v>预过滤器</v>
          </cell>
        </row>
        <row r="1492">
          <cell r="E1492" t="str">
            <v>23028996</v>
          </cell>
          <cell r="F1492" t="str">
            <v>Реле давления</v>
          </cell>
          <cell r="G1492">
            <v>389.47</v>
          </cell>
          <cell r="J1492" t="str">
            <v>压力继电器</v>
          </cell>
        </row>
        <row r="1493">
          <cell r="E1493" t="str">
            <v>22388045</v>
          </cell>
          <cell r="F1493" t="str">
            <v>Элемент сепаратора</v>
          </cell>
          <cell r="G1493">
            <v>189.18</v>
          </cell>
          <cell r="J1493" t="str">
            <v>分离器芯</v>
          </cell>
        </row>
        <row r="1494">
          <cell r="E1494" t="str">
            <v>821301501</v>
          </cell>
          <cell r="F1494" t="str">
            <v>Маслораспылитель</v>
          </cell>
          <cell r="G1494">
            <v>1464.85</v>
          </cell>
          <cell r="J1494" t="str">
            <v>油雾器</v>
          </cell>
        </row>
        <row r="1495">
          <cell r="E1495" t="str">
            <v>341-058-200-0+894-101-246-2</v>
          </cell>
          <cell r="F1495" t="str">
            <v>Реле давления</v>
          </cell>
          <cell r="G1495">
            <v>388.23</v>
          </cell>
          <cell r="J1495" t="str">
            <v>压力继电器</v>
          </cell>
        </row>
        <row r="1496">
          <cell r="E1496" t="str">
            <v>233.50/100 G1/2</v>
          </cell>
          <cell r="F1496" t="str">
            <v>Манометр</v>
          </cell>
          <cell r="G1496">
            <v>1240.3399999999999</v>
          </cell>
          <cell r="J1496" t="str">
            <v>电接点压力表 量程0-16bar+905.12 MSR-010+821</v>
          </cell>
        </row>
        <row r="1497">
          <cell r="E1497" t="str">
            <v>89243778</v>
          </cell>
          <cell r="F1497" t="str">
            <v>Детали клапана</v>
          </cell>
          <cell r="G1497">
            <v>781.42</v>
          </cell>
          <cell r="J1497" t="str">
            <v>进气阀组件</v>
          </cell>
        </row>
        <row r="1498">
          <cell r="E1498" t="str">
            <v>22282024</v>
          </cell>
          <cell r="F1498" t="str">
            <v>Детали клапана</v>
          </cell>
          <cell r="G1498">
            <v>411.79</v>
          </cell>
          <cell r="J1498" t="str">
            <v>温控阀组件</v>
          </cell>
        </row>
        <row r="1499">
          <cell r="E1499" t="str">
            <v>F-1015-IIRN</v>
          </cell>
          <cell r="F1499" t="str">
            <v>Фильтр</v>
          </cell>
          <cell r="G1499">
            <v>1103.9100000000001</v>
          </cell>
          <cell r="J1499" t="str">
            <v>过滤器</v>
          </cell>
        </row>
        <row r="1500">
          <cell r="E1500" t="str">
            <v>22421853</v>
          </cell>
          <cell r="F1500" t="str">
            <v>Предварительный фильтр</v>
          </cell>
          <cell r="G1500">
            <v>185.87</v>
          </cell>
          <cell r="J1500" t="str">
            <v>预过滤器</v>
          </cell>
        </row>
        <row r="1501">
          <cell r="E1501" t="str">
            <v>HF-3-24-6-DG</v>
          </cell>
          <cell r="F1501" t="str">
            <v>Предварительный фильтр</v>
          </cell>
          <cell r="G1501">
            <v>2880.08</v>
          </cell>
          <cell r="J1501" t="str">
            <v>干燥剂过滤器</v>
          </cell>
        </row>
        <row r="1502">
          <cell r="E1502" t="str">
            <v>HF-7-24-6-DG</v>
          </cell>
          <cell r="F1502" t="str">
            <v>Фильтр осушителя</v>
          </cell>
          <cell r="G1502">
            <v>1843.15</v>
          </cell>
          <cell r="J1502" t="str">
            <v>干燥剂过滤器</v>
          </cell>
        </row>
        <row r="1503">
          <cell r="E1503" t="str">
            <v>HF-9-24-6-DG</v>
          </cell>
          <cell r="F1503" t="str">
            <v>Фильтр осушителя</v>
          </cell>
          <cell r="G1503">
            <v>1843.15</v>
          </cell>
          <cell r="J1503" t="str">
            <v>干燥剂过滤器</v>
          </cell>
        </row>
        <row r="1504">
          <cell r="E1504" t="str">
            <v>DV-10-2-10/ G3/8"</v>
          </cell>
          <cell r="F1504" t="str">
            <v>Клапан</v>
          </cell>
          <cell r="G1504">
            <v>331.17</v>
          </cell>
          <cell r="J1504" t="str">
            <v>节流阀</v>
          </cell>
        </row>
        <row r="1505">
          <cell r="E1505" t="str">
            <v>DSG-01-3C2-A220-N1-50</v>
          </cell>
          <cell r="F1505" t="str">
            <v>Клапан</v>
          </cell>
          <cell r="G1505">
            <v>1642.22</v>
          </cell>
          <cell r="J1505" t="str">
            <v>电磁换向阀</v>
          </cell>
        </row>
        <row r="1506">
          <cell r="E1506" t="str">
            <v>CT-06-C-50</v>
          </cell>
          <cell r="F1506" t="str">
            <v>Клапан</v>
          </cell>
          <cell r="G1506">
            <v>964.99</v>
          </cell>
          <cell r="J1506" t="str">
            <v>溢流阀</v>
          </cell>
        </row>
        <row r="1507">
          <cell r="E1507" t="str">
            <v>DMG-01-3C2-10Y</v>
          </cell>
          <cell r="F1507" t="str">
            <v>Клапан</v>
          </cell>
          <cell r="G1507">
            <v>1089.02</v>
          </cell>
          <cell r="J1507" t="str">
            <v>手动换向阀</v>
          </cell>
        </row>
        <row r="1508">
          <cell r="E1508" t="str">
            <v>8MJ-6MT9</v>
          </cell>
          <cell r="F1508" t="str">
            <v>Адаптер</v>
          </cell>
          <cell r="G1508">
            <v>9.82</v>
          </cell>
          <cell r="J1508" t="str">
            <v>直角接头</v>
          </cell>
        </row>
        <row r="1509">
          <cell r="E1509" t="str">
            <v>K1902.92.03.00</v>
          </cell>
          <cell r="F1509" t="str">
            <v>Вращающееся масленно-воздушное соединение (вертлюг)</v>
          </cell>
          <cell r="G1509">
            <v>4002.59</v>
          </cell>
          <cell r="J1509" t="str">
            <v>旋转油气接头</v>
          </cell>
        </row>
        <row r="1510">
          <cell r="E1510" t="str">
            <v>3410582000</v>
          </cell>
          <cell r="F1510" t="str">
            <v>Реле давления</v>
          </cell>
          <cell r="G1510">
            <v>416.76</v>
          </cell>
          <cell r="J1510" t="str">
            <v>压力继电器</v>
          </cell>
        </row>
        <row r="1511">
          <cell r="E1511" t="str">
            <v>JB/ZQ4521-97 C-G1 1/4″</v>
          </cell>
          <cell r="F1511" t="str">
            <v>Вентиляционный кожух C-G1 1/4″</v>
          </cell>
          <cell r="G1511">
            <v>205.07</v>
          </cell>
          <cell r="J1511" t="str">
            <v>通风罩C-G1 1/4″</v>
          </cell>
        </row>
        <row r="1512">
          <cell r="E1512" t="str">
            <v>JB/ZQ4552 D-M76X2</v>
          </cell>
          <cell r="F1512" t="str">
            <v>Вентиляционный кожух D-M76X2</v>
          </cell>
          <cell r="G1512">
            <v>100.69</v>
          </cell>
          <cell r="J1512" t="str">
            <v>通风罩D-M76X2</v>
          </cell>
        </row>
        <row r="1513">
          <cell r="E1513" t="str">
            <v>GB/T1096 20X66</v>
          </cell>
          <cell r="F1513" t="str">
            <v>Шпонка 20X66</v>
          </cell>
          <cell r="G1513">
            <v>1.36</v>
          </cell>
          <cell r="J1513" t="str">
            <v>键 20X66</v>
          </cell>
        </row>
        <row r="1514">
          <cell r="E1514" t="str">
            <v>YWZ-300</v>
          </cell>
          <cell r="F1514" t="str">
            <v>Маслоуказатель YWZ-300</v>
          </cell>
          <cell r="G1514">
            <v>34.11</v>
          </cell>
          <cell r="J1514" t="str">
            <v>油标YWZ-300</v>
          </cell>
        </row>
        <row r="1515">
          <cell r="E1515" t="str">
            <v>JB/ZQ4224</v>
          </cell>
          <cell r="F1515" t="str">
            <v>Уплотнительное кольцо в форме О</v>
          </cell>
          <cell r="G1515">
            <v>6.23</v>
          </cell>
          <cell r="J1515" t="str">
            <v>O型密封圈</v>
          </cell>
        </row>
        <row r="1516">
          <cell r="E1516" t="str">
            <v>JB/ZQ4448 R1/4</v>
          </cell>
          <cell r="F1516" t="str">
            <v>Болт-пробка</v>
          </cell>
          <cell r="G1516">
            <v>5.18</v>
          </cell>
          <cell r="J1516" t="str">
            <v>螺塞R1/4</v>
          </cell>
        </row>
        <row r="1517">
          <cell r="E1517" t="str">
            <v>JB/ZQ4226 R1/8</v>
          </cell>
          <cell r="F1517" t="str">
            <v>Болт-пробка</v>
          </cell>
          <cell r="G1517">
            <v>5.18</v>
          </cell>
          <cell r="J1517" t="str">
            <v>螺塞R1/8</v>
          </cell>
        </row>
        <row r="1518">
          <cell r="E1518" t="str">
            <v>22177299</v>
          </cell>
          <cell r="F1518" t="str">
            <v>Предохранитель  1.5А</v>
          </cell>
          <cell r="G1518">
            <v>40.93</v>
          </cell>
          <cell r="J1518" t="str">
            <v>保险丝   1.5A</v>
          </cell>
        </row>
        <row r="1519">
          <cell r="E1519" t="str">
            <v>22177307</v>
          </cell>
          <cell r="F1519" t="str">
            <v>Предохранитель  0.75А</v>
          </cell>
          <cell r="G1519">
            <v>40.93</v>
          </cell>
          <cell r="J1519" t="str">
            <v>保险丝    0.75A</v>
          </cell>
        </row>
        <row r="1520">
          <cell r="E1520" t="str">
            <v>22384929</v>
          </cell>
          <cell r="F1520" t="str">
            <v>Индикаторная лампа компрессора</v>
          </cell>
          <cell r="G1520">
            <v>82.69</v>
          </cell>
          <cell r="J1520" t="str">
            <v>空压机指示灯</v>
          </cell>
        </row>
        <row r="1521">
          <cell r="E1521" t="str">
            <v>22384952</v>
          </cell>
          <cell r="F1521" t="str">
            <v>Аварийный выключатель компрессора</v>
          </cell>
          <cell r="G1521">
            <v>126.24</v>
          </cell>
          <cell r="J1521" t="str">
            <v>空压机紧急开关</v>
          </cell>
        </row>
        <row r="1522">
          <cell r="E1522" t="str">
            <v>22441489</v>
          </cell>
          <cell r="F1522" t="str">
            <v>Кнопка пуска компрессора</v>
          </cell>
          <cell r="G1522">
            <v>78.83</v>
          </cell>
          <cell r="J1522" t="str">
            <v>空压机启动按钮</v>
          </cell>
        </row>
        <row r="1523">
          <cell r="E1523" t="str">
            <v>22480305</v>
          </cell>
          <cell r="F1523" t="str">
            <v>Предохранитель 50 HZ</v>
          </cell>
          <cell r="G1523">
            <v>37.76</v>
          </cell>
          <cell r="J1523" t="str">
            <v>保险丝干燥器50HZ</v>
          </cell>
        </row>
        <row r="1524">
          <cell r="E1524" t="str">
            <v>22480313</v>
          </cell>
          <cell r="F1524" t="str">
            <v>Предохранитель 60 HZ</v>
          </cell>
          <cell r="G1524">
            <v>28.67</v>
          </cell>
          <cell r="J1524" t="str">
            <v>保险丝干燥器60HZ</v>
          </cell>
        </row>
        <row r="1525">
          <cell r="E1525" t="str">
            <v>23053747</v>
          </cell>
          <cell r="F1525" t="str">
            <v>Перегрузочное реле компрессора</v>
          </cell>
          <cell r="G1525">
            <v>138.09</v>
          </cell>
          <cell r="J1525" t="str">
            <v>空压机过载继电器</v>
          </cell>
        </row>
        <row r="1526">
          <cell r="E1526" t="str">
            <v>32203176</v>
          </cell>
          <cell r="F1526" t="str">
            <v>Предохранитель  1А(с задержкой времени)</v>
          </cell>
          <cell r="G1526">
            <v>40.93</v>
          </cell>
          <cell r="J1526" t="str">
            <v>保险丝   1A(非延时)</v>
          </cell>
        </row>
        <row r="1527">
          <cell r="E1527" t="str">
            <v>39193289</v>
          </cell>
          <cell r="F1527" t="str">
            <v>Предохранитель  1А(без задержки времени)</v>
          </cell>
          <cell r="G1527">
            <v>40.93</v>
          </cell>
          <cell r="J1527" t="str">
            <v>保险丝   1A(延时)</v>
          </cell>
        </row>
        <row r="1528">
          <cell r="E1528" t="str">
            <v>39252036</v>
          </cell>
          <cell r="F1528" t="str">
            <v xml:space="preserve">Контактор компрессора </v>
          </cell>
          <cell r="G1528">
            <v>205.07</v>
          </cell>
          <cell r="J1528" t="str">
            <v>空压机接触器</v>
          </cell>
        </row>
        <row r="1529">
          <cell r="E1529" t="str">
            <v>54403266</v>
          </cell>
          <cell r="F1529" t="str">
            <v>Угольник</v>
          </cell>
          <cell r="G1529">
            <v>34.659999999999997</v>
          </cell>
          <cell r="J1529" t="str">
            <v>弯头</v>
          </cell>
        </row>
        <row r="1530">
          <cell r="E1530" t="str">
            <v>54579248</v>
          </cell>
          <cell r="F1530" t="str">
            <v>Водоотливный клапан</v>
          </cell>
          <cell r="G1530">
            <v>1666.2</v>
          </cell>
          <cell r="J1530" t="str">
            <v>排水阀</v>
          </cell>
        </row>
        <row r="1531">
          <cell r="E1531" t="str">
            <v>54636501</v>
          </cell>
          <cell r="F1531" t="str">
            <v>Уплотнительная прокладка</v>
          </cell>
          <cell r="G1531">
            <v>13.51</v>
          </cell>
          <cell r="J1531" t="str">
            <v>密封垫片</v>
          </cell>
        </row>
        <row r="1532">
          <cell r="E1532" t="str">
            <v>81291601</v>
          </cell>
          <cell r="F1532" t="str">
            <v>Предохранитель  0.5А</v>
          </cell>
          <cell r="G1532">
            <v>41.34</v>
          </cell>
          <cell r="J1532" t="str">
            <v>保险丝    0.5A</v>
          </cell>
        </row>
        <row r="1533">
          <cell r="E1533" t="str">
            <v>89246078</v>
          </cell>
          <cell r="F1533" t="str">
            <v>Уплотнительная прокладка</v>
          </cell>
          <cell r="G1533">
            <v>68.08</v>
          </cell>
          <cell r="J1533" t="str">
            <v>密封垫片</v>
          </cell>
        </row>
        <row r="1534">
          <cell r="E1534" t="str">
            <v>92490358</v>
          </cell>
          <cell r="F1534" t="str">
            <v>Рукав</v>
          </cell>
          <cell r="G1534">
            <v>7.44</v>
          </cell>
          <cell r="J1534" t="str">
            <v>蓝管</v>
          </cell>
        </row>
        <row r="1535">
          <cell r="E1535" t="str">
            <v>92715051</v>
          </cell>
          <cell r="F1535" t="str">
            <v>Прямой разъём</v>
          </cell>
          <cell r="G1535">
            <v>47.96</v>
          </cell>
          <cell r="J1535" t="str">
            <v>直通接头</v>
          </cell>
        </row>
        <row r="1536">
          <cell r="E1536" t="str">
            <v>1SN10/6-6FJX/5500</v>
          </cell>
          <cell r="F1536" t="str">
            <v>Воздуховод от вертлюга до главной магистрали воздуха</v>
          </cell>
          <cell r="G1536">
            <v>77.180000000000007</v>
          </cell>
          <cell r="J1536" t="str">
            <v>旋转气接头至下部主气管</v>
          </cell>
        </row>
        <row r="1537">
          <cell r="E1537" t="str">
            <v>1SN10/8-8FJX/5000</v>
          </cell>
          <cell r="F1537" t="str">
            <v>Воздуховод тормоза напора</v>
          </cell>
          <cell r="G1537">
            <v>72.22</v>
          </cell>
          <cell r="J1537" t="str">
            <v>推压抱闸气管</v>
          </cell>
        </row>
        <row r="1538">
          <cell r="E1538" t="str">
            <v>1SN12/8-8FJX/8-6FJX/1260</v>
          </cell>
          <cell r="F1538" t="str">
            <v>Воздуховод тормоза механизма поворота</v>
          </cell>
          <cell r="G1538">
            <v>46.86</v>
          </cell>
          <cell r="J1538" t="str">
            <v>回转喷射气管</v>
          </cell>
        </row>
        <row r="1539">
          <cell r="E1539" t="str">
            <v>1SN12/8-8FJX/8-6FJX/690</v>
          </cell>
          <cell r="F1539" t="str">
            <v>Воздуховод тормоза механизма поворота</v>
          </cell>
          <cell r="G1539">
            <v>36.93</v>
          </cell>
          <cell r="J1539" t="str">
            <v>回转喷射气管</v>
          </cell>
        </row>
        <row r="1540">
          <cell r="E1540" t="str">
            <v>1SN16/10-12FJX/10-12FJX9/1300</v>
          </cell>
          <cell r="F1540" t="str">
            <v>РВД системы смазки подъема</v>
          </cell>
          <cell r="G1540">
            <v>59.26</v>
          </cell>
          <cell r="J1540" t="str">
            <v>提升稀油润滑用</v>
          </cell>
        </row>
        <row r="1541">
          <cell r="E1541" t="str">
            <v>1SN25/16-20FJX/1900</v>
          </cell>
          <cell r="F1541" t="str">
            <v>РВД системы смазки подъема</v>
          </cell>
          <cell r="G1541">
            <v>160.13999999999999</v>
          </cell>
          <cell r="J1541" t="str">
            <v>提升稀油润滑用</v>
          </cell>
        </row>
        <row r="1542">
          <cell r="E1542" t="str">
            <v>1SN25/16-20FJX/2200</v>
          </cell>
          <cell r="F1542" t="str">
            <v>РВД системы смазки переднего поворота</v>
          </cell>
          <cell r="G1542">
            <v>111.63</v>
          </cell>
          <cell r="J1542" t="str">
            <v>前回转稀油润滑用</v>
          </cell>
        </row>
        <row r="1543">
          <cell r="E1543" t="str">
            <v>1SN25/16-20FJX/800</v>
          </cell>
          <cell r="F1543" t="str">
            <v>РВД системы смазки переднего поворота</v>
          </cell>
          <cell r="G1543">
            <v>131.19999999999999</v>
          </cell>
          <cell r="J1543" t="str">
            <v>前回转稀油润滑用</v>
          </cell>
        </row>
        <row r="1544">
          <cell r="E1544" t="str">
            <v>22071807</v>
          </cell>
          <cell r="F1544" t="str">
            <v>Трансформатор компрессора</v>
          </cell>
          <cell r="G1544">
            <v>472.98</v>
          </cell>
          <cell r="J1544" t="str">
            <v>空压机变压器（380，440V/115V)</v>
          </cell>
        </row>
        <row r="1545">
          <cell r="E1545" t="str">
            <v>22401590</v>
          </cell>
          <cell r="F1545" t="str">
            <v>Предохранительный клапан компрессора</v>
          </cell>
          <cell r="G1545">
            <v>90.68</v>
          </cell>
          <cell r="J1545" t="str">
            <v>空压机安全阀 16bar</v>
          </cell>
        </row>
        <row r="1546">
          <cell r="E1546" t="str">
            <v>23410798</v>
          </cell>
          <cell r="F1546" t="str">
            <v>Сбросной клапан</v>
          </cell>
          <cell r="G1546">
            <v>129.55000000000001</v>
          </cell>
          <cell r="J1546" t="str">
            <v>放气阀</v>
          </cell>
        </row>
        <row r="1547">
          <cell r="E1547" t="str">
            <v>23410806</v>
          </cell>
          <cell r="F1547" t="str">
            <v>Клапан минимального давления</v>
          </cell>
          <cell r="G1547">
            <v>376.51</v>
          </cell>
          <cell r="J1547" t="str">
            <v>最小压力阀</v>
          </cell>
        </row>
        <row r="1548">
          <cell r="E1548" t="str">
            <v>2SN10/6-6FJX/5500</v>
          </cell>
          <cell r="F1548" t="str">
            <v>Воздуховод от вертлюга до главной магистрали воздуха</v>
          </cell>
          <cell r="G1548">
            <v>105.29</v>
          </cell>
          <cell r="J1548" t="str">
            <v>旋转气接头至下部主油管</v>
          </cell>
        </row>
        <row r="1549">
          <cell r="E1549" t="str">
            <v>2SN10/6-6FJX/6-6FJX9/2600</v>
          </cell>
          <cell r="F1549" t="str">
            <v>РВД устройства натяжения ремней</v>
          </cell>
          <cell r="G1549">
            <v>64.22</v>
          </cell>
          <cell r="J1549" t="str">
            <v>皮带张紧油管</v>
          </cell>
        </row>
        <row r="1550">
          <cell r="E1550" t="str">
            <v>2SN12/8-6FJX/1140</v>
          </cell>
          <cell r="F1550" t="str">
            <v>РВД системы смазки поворота</v>
          </cell>
          <cell r="G1550">
            <v>52.92</v>
          </cell>
          <cell r="J1550" t="str">
            <v>回转喷射油管</v>
          </cell>
        </row>
        <row r="1551">
          <cell r="E1551" t="str">
            <v>2SN12/8-6FJX/1680</v>
          </cell>
          <cell r="F1551" t="str">
            <v>РВД системы смазки поворота</v>
          </cell>
          <cell r="G1551">
            <v>63.12</v>
          </cell>
          <cell r="J1551" t="str">
            <v>回转喷射油管</v>
          </cell>
        </row>
        <row r="1552">
          <cell r="E1552" t="str">
            <v>2SN12/8-8FJX/1900</v>
          </cell>
          <cell r="F1552" t="str">
            <v>РВД системы смазки механизма напора</v>
          </cell>
          <cell r="G1552">
            <v>66.98</v>
          </cell>
          <cell r="J1552" t="str">
            <v>推压铜套润滑油管</v>
          </cell>
        </row>
        <row r="1553">
          <cell r="E1553" t="str">
            <v>2SN12/8-8FJX/2400</v>
          </cell>
          <cell r="F1553" t="str">
            <v>РВД системы смазки механизма напора</v>
          </cell>
          <cell r="G1553">
            <v>76.069999999999993</v>
          </cell>
          <cell r="J1553" t="str">
            <v>推压铜套润滑油管</v>
          </cell>
        </row>
        <row r="1554">
          <cell r="E1554" t="str">
            <v>2SN12/8-8FJX/2900</v>
          </cell>
          <cell r="F1554" t="str">
            <v>РВД системы смазки механизма напора</v>
          </cell>
          <cell r="G1554">
            <v>85.45</v>
          </cell>
          <cell r="J1554" t="str">
            <v>推压铜套润滑油管</v>
          </cell>
        </row>
        <row r="1555">
          <cell r="E1555" t="str">
            <v>2SN12/8-8FJX/4800</v>
          </cell>
          <cell r="F1555" t="str">
            <v>Наружный РВД системы смазки поворота</v>
          </cell>
          <cell r="G1555">
            <v>121</v>
          </cell>
          <cell r="J1555" t="str">
            <v>润滑室下面回转喷气外漏主管路</v>
          </cell>
        </row>
        <row r="1556">
          <cell r="E1556" t="str">
            <v>2SN12/8-8FJX/5800</v>
          </cell>
          <cell r="F1556" t="str">
            <v>Наружный РВД системы смазки поворота</v>
          </cell>
          <cell r="G1556">
            <v>140.02000000000001</v>
          </cell>
          <cell r="J1556" t="str">
            <v>回转喷气外漏主管路</v>
          </cell>
        </row>
        <row r="1557">
          <cell r="E1557" t="str">
            <v>2SN12/8-8FJX/6000</v>
          </cell>
          <cell r="F1557" t="str">
            <v>РВД системы смазки стрелы</v>
          </cell>
          <cell r="G1557">
            <v>143.05000000000001</v>
          </cell>
          <cell r="J1557" t="str">
            <v>润滑室隔壁板至起重臂主油管</v>
          </cell>
        </row>
        <row r="1558">
          <cell r="E1558" t="str">
            <v>2SN12/8-8FJX/6250</v>
          </cell>
          <cell r="F1558" t="str">
            <v>РВД системы смазки натяжного колеса</v>
          </cell>
          <cell r="G1558">
            <v>148.29</v>
          </cell>
          <cell r="J1558" t="str">
            <v>张紧轮润滑管</v>
          </cell>
        </row>
        <row r="1559">
          <cell r="E1559" t="str">
            <v>2SN12/8-8FJX/6500</v>
          </cell>
          <cell r="F1559" t="str">
            <v>РВД от комнаты смазки до вертлюга</v>
          </cell>
          <cell r="G1559">
            <v>152.97999999999999</v>
          </cell>
          <cell r="J1559" t="str">
            <v>润滑室隔壁板至旋转气接头主油管</v>
          </cell>
        </row>
        <row r="1560">
          <cell r="E1560" t="str">
            <v>2SN12/8-8FJX/800</v>
          </cell>
          <cell r="F1560" t="str">
            <v>РВД от форсунки системы поворота поворота до распределителя</v>
          </cell>
          <cell r="G1560">
            <v>46.03</v>
          </cell>
          <cell r="J1560" t="str">
            <v>回转喷射进分配器油管</v>
          </cell>
        </row>
        <row r="1561">
          <cell r="E1561" t="str">
            <v>2SN12/8-8FJX/8500</v>
          </cell>
          <cell r="F1561" t="str">
            <v>РВД системы смазки нижней рамы</v>
          </cell>
          <cell r="G1561">
            <v>189.91</v>
          </cell>
          <cell r="J1561" t="str">
            <v>底架梁干油主管路</v>
          </cell>
        </row>
        <row r="1562">
          <cell r="E1562" t="str">
            <v>CGQ-40</v>
          </cell>
          <cell r="F1562" t="str">
            <v>Фильтрующий элемент магнитного фильтра</v>
          </cell>
          <cell r="G1562">
            <v>315.32</v>
          </cell>
          <cell r="J1562" t="str">
            <v>强磁过滤器滤芯</v>
          </cell>
        </row>
        <row r="1563">
          <cell r="E1563" t="str">
            <v>DMG-01-3C2-10</v>
          </cell>
          <cell r="F1563" t="str">
            <v>Гидравлический ручной реверсивный клапан</v>
          </cell>
          <cell r="G1563">
            <v>1379.54</v>
          </cell>
          <cell r="J1563" t="str">
            <v>液压手动换向阀</v>
          </cell>
        </row>
        <row r="1564">
          <cell r="E1564" t="str">
            <v>DN15</v>
          </cell>
          <cell r="F1564" t="str">
            <v>1/2 Шаровой кран</v>
          </cell>
          <cell r="G1564">
            <v>89.78</v>
          </cell>
          <cell r="J1564" t="str">
            <v>1/2球阀</v>
          </cell>
        </row>
        <row r="1565">
          <cell r="E1565" t="str">
            <v>DN20</v>
          </cell>
          <cell r="F1565" t="str">
            <v>3/4 Шаровой кран</v>
          </cell>
          <cell r="G1565">
            <v>105.33</v>
          </cell>
          <cell r="J1565" t="str">
            <v>3/4球阀</v>
          </cell>
        </row>
        <row r="1566">
          <cell r="E1566" t="str">
            <v>HY5WS-7.6/30</v>
          </cell>
          <cell r="F1566" t="str">
            <v>Молниеотвод</v>
          </cell>
          <cell r="G1566">
            <v>225.12</v>
          </cell>
          <cell r="J1566" t="str">
            <v>避雷器</v>
          </cell>
        </row>
        <row r="1567">
          <cell r="E1567" t="str">
            <v>FB21-040GK/A</v>
          </cell>
          <cell r="F1567" t="str">
            <v>Выключатель потока масла</v>
          </cell>
          <cell r="G1567">
            <v>1020.94</v>
          </cell>
          <cell r="J1567" t="str">
            <v>油流开关</v>
          </cell>
        </row>
        <row r="1568">
          <cell r="E1568" t="str">
            <v>GB1235-76</v>
          </cell>
          <cell r="F1568" t="str">
            <v>O-образная герметическая прокладка 20X2.4</v>
          </cell>
          <cell r="G1568">
            <v>5.79</v>
          </cell>
          <cell r="J1568" t="str">
            <v>O型密封圈20X2.4</v>
          </cell>
        </row>
        <row r="1569">
          <cell r="E1569" t="str">
            <v>JB/T982-77</v>
          </cell>
          <cell r="F1569" t="str">
            <v>Набор прокладок 18</v>
          </cell>
          <cell r="G1569">
            <v>3.86</v>
          </cell>
          <cell r="J1569" t="str">
            <v>组合垫18</v>
          </cell>
        </row>
        <row r="1570">
          <cell r="E1570" t="str">
            <v>JB/ZQ4399-86</v>
          </cell>
          <cell r="F1570" t="str">
            <v>Трубное соединение 18/Z3/8</v>
          </cell>
          <cell r="G1570">
            <v>13.64</v>
          </cell>
          <cell r="J1570" t="str">
            <v>管接头18/Z3/8</v>
          </cell>
        </row>
        <row r="1571">
          <cell r="E1571" t="str">
            <v>JB982-77</v>
          </cell>
          <cell r="F1571" t="str">
            <v>Набор прокладок 22</v>
          </cell>
          <cell r="G1571">
            <v>4.6399999999999997</v>
          </cell>
          <cell r="J1571" t="str">
            <v>组合垫22</v>
          </cell>
        </row>
        <row r="1572">
          <cell r="E1572" t="str">
            <v>LC1-D3211M7C</v>
          </cell>
          <cell r="F1572" t="str">
            <v xml:space="preserve">Контактор </v>
          </cell>
          <cell r="G1572">
            <v>91.51</v>
          </cell>
          <cell r="J1572" t="str">
            <v>接触器</v>
          </cell>
        </row>
        <row r="1573">
          <cell r="E1573" t="str">
            <v>LC1-D38M5C</v>
          </cell>
          <cell r="F1573" t="str">
            <v>Промежуточное реле</v>
          </cell>
          <cell r="G1573">
            <v>75.8</v>
          </cell>
          <cell r="J1573" t="str">
            <v xml:space="preserve">中间继电器 </v>
          </cell>
        </row>
        <row r="1574">
          <cell r="E1574" t="str">
            <v>LC1-D6511M7C</v>
          </cell>
          <cell r="F1574" t="str">
            <v>Контактор</v>
          </cell>
          <cell r="G1574">
            <v>181.37</v>
          </cell>
          <cell r="J1574" t="str">
            <v>接触器</v>
          </cell>
        </row>
        <row r="1575">
          <cell r="E1575" t="str">
            <v>LC1-D9511M7C</v>
          </cell>
          <cell r="F1575" t="str">
            <v>Контактор</v>
          </cell>
          <cell r="G1575">
            <v>293.27</v>
          </cell>
          <cell r="J1575" t="str">
            <v>接触器</v>
          </cell>
        </row>
        <row r="1576">
          <cell r="E1576" t="str">
            <v>LRD08C</v>
          </cell>
          <cell r="F1576" t="str">
            <v>Термическое реле</v>
          </cell>
          <cell r="G1576">
            <v>757.99</v>
          </cell>
          <cell r="J1576" t="str">
            <v>热继</v>
          </cell>
        </row>
        <row r="1577">
          <cell r="E1577" t="str">
            <v>LRD16C</v>
          </cell>
          <cell r="F1577" t="str">
            <v>Термическое реле</v>
          </cell>
          <cell r="G1577">
            <v>757.99</v>
          </cell>
          <cell r="J1577" t="str">
            <v>热继</v>
          </cell>
        </row>
        <row r="1578">
          <cell r="E1578" t="str">
            <v>NSX100H+VigiNSX100/160</v>
          </cell>
          <cell r="F1578" t="str">
            <v>Прерыватель с пластмассовым корпусом Q025</v>
          </cell>
          <cell r="G1578">
            <v>3862.71</v>
          </cell>
          <cell r="J1578" t="str">
            <v>Q025塑壳断路器</v>
          </cell>
        </row>
        <row r="1579">
          <cell r="E1579" t="str">
            <v>NSX630H+VigiNSX630</v>
          </cell>
          <cell r="F1579" t="str">
            <v>Прерыватель с пластмассовым корпусом Q02</v>
          </cell>
          <cell r="G1579">
            <v>7331.26</v>
          </cell>
          <cell r="J1579" t="str">
            <v>Q02塑壳断路器</v>
          </cell>
        </row>
        <row r="1580">
          <cell r="E1580" t="str">
            <v>K1812.18.01.01</v>
          </cell>
          <cell r="F1580" t="str">
            <v>Заднее опорное колесо</v>
          </cell>
          <cell r="G1580">
            <v>47092.28</v>
          </cell>
          <cell r="J1580" t="str">
            <v>后支轮</v>
          </cell>
        </row>
        <row r="1581">
          <cell r="E1581" t="str">
            <v>K1701.05.03.06</v>
          </cell>
          <cell r="F1581" t="str">
            <v>Вал-щестерня</v>
          </cell>
          <cell r="G1581">
            <v>31968.63</v>
          </cell>
          <cell r="J1581" t="str">
            <v>齿轮轴</v>
          </cell>
        </row>
        <row r="1582">
          <cell r="E1582" t="str">
            <v>JPDJRQ</v>
          </cell>
          <cell r="F1582" t="str">
            <v>Нагревательный прибор</v>
          </cell>
          <cell r="G1582">
            <v>4548.34</v>
          </cell>
          <cell r="J1582" t="str">
            <v>加热器20KW（立式）20KW（卧式）10KW</v>
          </cell>
        </row>
        <row r="1583">
          <cell r="E1583" t="str">
            <v>3NC1091</v>
          </cell>
          <cell r="F1583" t="str">
            <v>Выключатель предохранителя +H.A25-A1-F21#</v>
          </cell>
          <cell r="G1583">
            <v>19.850000000000001</v>
          </cell>
          <cell r="J1583" t="str">
            <v>熔断器; 10A 58V</v>
          </cell>
        </row>
        <row r="1584">
          <cell r="E1584" t="str">
            <v>3NC1105</v>
          </cell>
          <cell r="F1584" t="str">
            <v>Предохранитель -A2-F101,F102</v>
          </cell>
          <cell r="G1584">
            <v>248.07</v>
          </cell>
          <cell r="J1584" t="str">
            <v>熔断器;5 A, 600 V AC</v>
          </cell>
        </row>
        <row r="1585">
          <cell r="E1585" t="str">
            <v>3NE1817-0</v>
          </cell>
          <cell r="F1585" t="str">
            <v>Предохранитель+H.A25-A1-Q10-F71,-F72,-F73</v>
          </cell>
          <cell r="G1585">
            <v>116.65</v>
          </cell>
          <cell r="J1585" t="str">
            <v>绝缘监测器;275-43, AC88.. 264V, DC77..286V;A5E00199575</v>
          </cell>
        </row>
        <row r="1586">
          <cell r="E1586" t="str">
            <v>3NE3334-0B</v>
          </cell>
          <cell r="F1586" t="str">
            <v>Предохранитель</v>
          </cell>
          <cell r="G1586">
            <v>164.97</v>
          </cell>
          <cell r="J1586" t="str">
            <v>保险</v>
          </cell>
        </row>
        <row r="1587">
          <cell r="E1587" t="str">
            <v>3RT1016-1AP01</v>
          </cell>
          <cell r="F1587" t="str">
            <v>Контактор</v>
          </cell>
          <cell r="G1587">
            <v>268.79000000000002</v>
          </cell>
          <cell r="J1587" t="str">
            <v xml:space="preserve">接触器 </v>
          </cell>
        </row>
        <row r="1588">
          <cell r="E1588" t="str">
            <v>4NIC-Q240 24VDC 10A</v>
          </cell>
          <cell r="F1588" t="str">
            <v>Модуль источника тока</v>
          </cell>
          <cell r="G1588">
            <v>2046.57</v>
          </cell>
          <cell r="J1588" t="str">
            <v>朝阳电源</v>
          </cell>
        </row>
        <row r="1589">
          <cell r="E1589" t="str">
            <v>4NIC-Q60 12VDC 5A</v>
          </cell>
          <cell r="F1589" t="str">
            <v>Главный модуль электропитания, 12В DC, 5А</v>
          </cell>
          <cell r="G1589">
            <v>396.91</v>
          </cell>
          <cell r="J1589" t="str">
            <v>朝阳电源</v>
          </cell>
        </row>
        <row r="1590">
          <cell r="E1590" t="str">
            <v>6AV6643-0CD01-1AX1</v>
          </cell>
          <cell r="F1590" t="str">
            <v>Левый командо-контроллер, с пылезащитным кожухом</v>
          </cell>
          <cell r="G1590">
            <v>10232.84</v>
          </cell>
          <cell r="J1590" t="str">
            <v>触摸屏</v>
          </cell>
        </row>
        <row r="1591">
          <cell r="E1591" t="str">
            <v>6SL3053-0AA00-3AA0</v>
          </cell>
          <cell r="F1591" t="str">
            <v>Модуль контроля напряжениями</v>
          </cell>
          <cell r="G1591">
            <v>1373.06</v>
          </cell>
          <cell r="J1591" t="str">
            <v>电源检测模块VSM10;不带DRIVE-CLIQ电缆</v>
          </cell>
        </row>
        <row r="1592">
          <cell r="E1592" t="str">
            <v>6SL3054-0AA01-1AA0</v>
          </cell>
          <cell r="F1592" t="str">
            <v>Карта CF</v>
          </cell>
          <cell r="G1592">
            <v>1653.38</v>
          </cell>
          <cell r="J1592" t="str">
            <v>CF卡</v>
          </cell>
        </row>
        <row r="1593">
          <cell r="E1593" t="str">
            <v>6SL3055-0AA00-4CA3</v>
          </cell>
          <cell r="F1593" t="str">
            <v>AOP30</v>
          </cell>
          <cell r="G1593">
            <v>3017.76</v>
          </cell>
          <cell r="J1593" t="str">
            <v>AOP30</v>
          </cell>
        </row>
        <row r="1594">
          <cell r="E1594" t="str">
            <v>6SL3060-4AP00-0AA0</v>
          </cell>
          <cell r="F1594" t="str">
            <v>Выпрямительный мост</v>
          </cell>
          <cell r="G1594">
            <v>94.27</v>
          </cell>
          <cell r="J1594" t="str">
            <v>300MM ALM的正组桥</v>
          </cell>
        </row>
        <row r="1595">
          <cell r="E1595" t="str">
            <v>6SL3352-6BH00-0AA1</v>
          </cell>
          <cell r="F1595" t="str">
            <v>Источник тока G27</v>
          </cell>
          <cell r="G1595">
            <v>7979.13</v>
          </cell>
          <cell r="J1595" t="str">
            <v>3AC 500-690V, 50/60HZ 变频/整流/逆变模块的电源</v>
          </cell>
        </row>
        <row r="1596">
          <cell r="E1596" t="str">
            <v>6SL3352-6TG41-0AA3</v>
          </cell>
          <cell r="F1596" t="str">
            <v>Плата интерфейса</v>
          </cell>
          <cell r="G1596">
            <v>9445.2199999999993</v>
          </cell>
          <cell r="J1596" t="str">
            <v>3AC 500-690V, 50/60HZ, 1025A整流模块的控制接口板</v>
          </cell>
        </row>
        <row r="1597">
          <cell r="E1597" t="str">
            <v>6SL3353-6TG41-3AA3</v>
          </cell>
          <cell r="F1597" t="str">
            <v>Интерфейсная плата</v>
          </cell>
          <cell r="G1597">
            <v>9445.2199999999993</v>
          </cell>
          <cell r="J1597" t="str">
            <v>3AC 500-690V, 50/60HZ, 1270A整流模块的控制接口板</v>
          </cell>
        </row>
        <row r="1598">
          <cell r="E1598" t="str">
            <v>6SL3353-7AG41-7AA0</v>
          </cell>
          <cell r="F1598" t="str">
            <v>Трансформатор вентилятора T10</v>
          </cell>
          <cell r="G1598">
            <v>3572.19</v>
          </cell>
          <cell r="J1598" t="str">
            <v>外型尺寸为H，J 3AC 500-690V, 50/60HZ 整流模块的变压器</v>
          </cell>
        </row>
        <row r="1599">
          <cell r="E1599" t="str">
            <v>6SL3353-7AH41-8AA0</v>
          </cell>
          <cell r="F1599" t="str">
            <v>Трансформатор вентилятора T20</v>
          </cell>
          <cell r="G1599">
            <v>4165.08</v>
          </cell>
          <cell r="J1599" t="str">
            <v>外型尺寸为GB 3AC 500-690V, 50/60HZ 整流模块的变压器</v>
          </cell>
        </row>
        <row r="1600">
          <cell r="E1600" t="str">
            <v>6SL3360-8AA00-0AA6</v>
          </cell>
          <cell r="F1600" t="str">
            <v>Интерфейсный модуль -A2-A98,-A99</v>
          </cell>
          <cell r="G1600">
            <v>1830.75</v>
          </cell>
          <cell r="J1600" t="str">
            <v>测量模块;组成元件</v>
          </cell>
        </row>
        <row r="1601">
          <cell r="E1601" t="str">
            <v>6SL3760-0CA00-0AA0</v>
          </cell>
          <cell r="F1601" t="str">
            <v>Модуль терминала</v>
          </cell>
          <cell r="G1601">
            <v>390.71</v>
          </cell>
          <cell r="J1601" t="str">
            <v>终端模块 A55; SINAMICS S120组成部分;</v>
          </cell>
        </row>
        <row r="1602">
          <cell r="E1602" t="str">
            <v>ACR220VE</v>
          </cell>
          <cell r="F1602" t="str">
            <v>Измеритель напряжения (вольтметр)</v>
          </cell>
          <cell r="G1602">
            <v>331.17</v>
          </cell>
          <cell r="J1602" t="str">
            <v>操作台电压表</v>
          </cell>
        </row>
        <row r="1603">
          <cell r="E1603" t="str">
            <v>AD11-22/21-9GZ</v>
          </cell>
          <cell r="F1603" t="str">
            <v>Индикатор</v>
          </cell>
          <cell r="G1603">
            <v>4.13</v>
          </cell>
          <cell r="J1603" t="str">
            <v xml:space="preserve"> 指示灯</v>
          </cell>
        </row>
        <row r="1604">
          <cell r="E1604" t="str">
            <v>AD11-22/21-S</v>
          </cell>
          <cell r="F1604" t="str">
            <v>Двухцветный индикатор</v>
          </cell>
          <cell r="G1604">
            <v>4.96</v>
          </cell>
          <cell r="J1604" t="str">
            <v xml:space="preserve"> 双色指示灯</v>
          </cell>
        </row>
        <row r="1605">
          <cell r="E1605" t="str">
            <v>B25668-A6836-A375N1</v>
          </cell>
          <cell r="F1605" t="str">
            <v>Конденсатор 3х27,9мкФ, 690В</v>
          </cell>
          <cell r="G1605">
            <v>465.13</v>
          </cell>
          <cell r="J1605" t="str">
            <v>CAPACITOR; AC 690V;3x27.9UF;NMA10091 22 B25668-A6836-A375</v>
          </cell>
        </row>
        <row r="1606">
          <cell r="E1606" t="str">
            <v>C6517323+C65N17959</v>
          </cell>
          <cell r="F1606" t="str">
            <v>Защитный переключатель для предотвращения утечек тока</v>
          </cell>
          <cell r="G1606">
            <v>73.31</v>
          </cell>
          <cell r="J1606" t="str">
            <v>漏电保护开关</v>
          </cell>
        </row>
        <row r="1607">
          <cell r="E1607" t="str">
            <v>C65N D50 4P</v>
          </cell>
          <cell r="F1607" t="str">
            <v>Выключатель</v>
          </cell>
          <cell r="G1607">
            <v>78.84</v>
          </cell>
          <cell r="J1607" t="str">
            <v>断路器</v>
          </cell>
        </row>
        <row r="1608">
          <cell r="E1608" t="str">
            <v>C65N C1 3P</v>
          </cell>
          <cell r="F1608" t="str">
            <v>Выключатель</v>
          </cell>
          <cell r="G1608">
            <v>54.03</v>
          </cell>
          <cell r="J1608" t="str">
            <v>断路器</v>
          </cell>
        </row>
        <row r="1609">
          <cell r="E1609" t="str">
            <v>C65N D63</v>
          </cell>
          <cell r="F1609" t="str">
            <v>Выключатель</v>
          </cell>
          <cell r="G1609">
            <v>78.84</v>
          </cell>
          <cell r="J1609" t="str">
            <v>断路器</v>
          </cell>
        </row>
        <row r="1610">
          <cell r="E1610" t="str">
            <v>C65N17953</v>
          </cell>
          <cell r="F1610" t="str">
            <v>Выключатель</v>
          </cell>
          <cell r="G1610">
            <v>31.77</v>
          </cell>
          <cell r="J1610" t="str">
            <v>断路器</v>
          </cell>
        </row>
        <row r="1611">
          <cell r="E1611" t="str">
            <v>C65N17956</v>
          </cell>
          <cell r="F1611" t="str">
            <v>Выключатель</v>
          </cell>
          <cell r="G1611">
            <v>36.659999999999997</v>
          </cell>
          <cell r="J1611" t="str">
            <v>断路器</v>
          </cell>
        </row>
        <row r="1612">
          <cell r="E1612" t="str">
            <v>C65N17994</v>
          </cell>
          <cell r="F1612" t="str">
            <v>Выключатель</v>
          </cell>
          <cell r="G1612">
            <v>56.2</v>
          </cell>
          <cell r="J1612" t="str">
            <v>断路器</v>
          </cell>
        </row>
        <row r="1613">
          <cell r="E1613" t="str">
            <v>CAD-32M</v>
          </cell>
          <cell r="F1613" t="str">
            <v>Реле управления</v>
          </cell>
          <cell r="G1613">
            <v>24.26</v>
          </cell>
          <cell r="J1613" t="str">
            <v>控制继电器</v>
          </cell>
        </row>
        <row r="1614">
          <cell r="E1614" t="str">
            <v>CB200-YIL</v>
          </cell>
          <cell r="F1614" t="str">
            <v>Компрессор</v>
          </cell>
          <cell r="G1614">
            <v>3472.96</v>
          </cell>
          <cell r="J1614" t="str">
            <v>压缩机</v>
          </cell>
        </row>
        <row r="1615">
          <cell r="E1615" t="str">
            <v>CBVX265CH5042R5</v>
          </cell>
          <cell r="F1615" t="str">
            <v>Резистор 2,5Ом, 690В, 20кВт</v>
          </cell>
          <cell r="G1615">
            <v>55.12</v>
          </cell>
          <cell r="J1615" t="str">
            <v xml:space="preserve">RESISTOR;2.5OHM;20KW;NMA1009473  </v>
          </cell>
        </row>
        <row r="1616">
          <cell r="E1616" t="str">
            <v>CR1-F630M7C 220VAC</v>
          </cell>
          <cell r="F1616" t="str">
            <v>Высоковольтный предохранитель</v>
          </cell>
          <cell r="G1616">
            <v>10505.71</v>
          </cell>
          <cell r="J1616" t="str">
            <v>切换接触器</v>
          </cell>
        </row>
        <row r="1617">
          <cell r="E1617" t="str">
            <v>D-000201</v>
          </cell>
          <cell r="F1617" t="str">
            <v>Разъединитель QCB для предохранителей NH00 160А, 690В</v>
          </cell>
          <cell r="G1617">
            <v>135.19999999999999</v>
          </cell>
          <cell r="J1617" t="str">
            <v>SWITCH-DISCON.-FUSE;690V;160A;FOR NH FUSE</v>
          </cell>
        </row>
        <row r="1618">
          <cell r="E1618" t="str">
            <v>D-000350</v>
          </cell>
          <cell r="F1618" t="str">
            <v>Разъединитель нагрузки, 200А, 690В</v>
          </cell>
          <cell r="G1618">
            <v>465.13</v>
          </cell>
          <cell r="J1618" t="str">
            <v>SWITCH-DISCON.;690V;200A;4POLIG;C125</v>
          </cell>
        </row>
        <row r="1619">
          <cell r="E1619" t="str">
            <v>D-14500</v>
          </cell>
          <cell r="F1619" t="str">
            <v>Диод подавителя помех, 24-240В пост. Тока</v>
          </cell>
          <cell r="G1619">
            <v>12.56</v>
          </cell>
          <cell r="J1619" t="str">
            <v>SURGE-SUPPRESSOR-DIODE;24-240VDC</v>
          </cell>
        </row>
        <row r="1620">
          <cell r="E1620" t="str">
            <v>DF-2000</v>
          </cell>
          <cell r="F1620" t="str">
            <v>Центробежный вентилятор 0.25 KW</v>
          </cell>
          <cell r="G1620">
            <v>854.6</v>
          </cell>
          <cell r="J1620" t="str">
            <v xml:space="preserve"> 离心风机</v>
          </cell>
        </row>
        <row r="1621">
          <cell r="E1621" t="str">
            <v>DY-32/140C</v>
          </cell>
          <cell r="F1621" t="str">
            <v>Реле заземления</v>
          </cell>
          <cell r="G1621">
            <v>198.46</v>
          </cell>
          <cell r="J1621" t="str">
            <v>接地继电器</v>
          </cell>
        </row>
        <row r="1622">
          <cell r="E1622" t="str">
            <v>EMD-FL-3V-400 2866064</v>
          </cell>
          <cell r="F1622" t="str">
            <v>Реле контроля 3-фазного напряжения 320-520В AC, 5А</v>
          </cell>
          <cell r="G1622">
            <v>859.56</v>
          </cell>
          <cell r="J1622" t="str">
            <v>相序继电器</v>
          </cell>
        </row>
        <row r="1623">
          <cell r="E1623" t="str">
            <v>FNM-10</v>
          </cell>
          <cell r="F1623" t="str">
            <v>Предохранитель</v>
          </cell>
          <cell r="G1623">
            <v>13.56</v>
          </cell>
          <cell r="J1623" t="str">
            <v>保险</v>
          </cell>
        </row>
        <row r="1624">
          <cell r="E1624" t="str">
            <v>JDZ-1</v>
          </cell>
          <cell r="F1624" t="str">
            <v>Счетчик моточасов</v>
          </cell>
          <cell r="G1624">
            <v>163.32</v>
          </cell>
          <cell r="J1624" t="str">
            <v>操作台计时器</v>
          </cell>
        </row>
        <row r="1625">
          <cell r="E1625" t="str">
            <v>KHI-250A/1200VAC</v>
          </cell>
          <cell r="F1625" t="str">
            <v>Предохранитель</v>
          </cell>
          <cell r="G1625">
            <v>40.03</v>
          </cell>
          <cell r="J1625" t="str">
            <v>保险</v>
          </cell>
        </row>
        <row r="1626">
          <cell r="E1626" t="str">
            <v>LA9-D09980+LA9-D09981</v>
          </cell>
          <cell r="F1626" t="str">
            <v>Приспособление включателя</v>
          </cell>
          <cell r="G1626">
            <v>60.03</v>
          </cell>
          <cell r="J1626" t="str">
            <v>接触器辅件</v>
          </cell>
        </row>
        <row r="1627">
          <cell r="E1627" t="str">
            <v>LADN22C</v>
          </cell>
          <cell r="F1627" t="str">
            <v>Вспомогательный контакт</v>
          </cell>
          <cell r="G1627">
            <v>10.75</v>
          </cell>
          <cell r="J1627" t="str">
            <v>辅助触头</v>
          </cell>
        </row>
        <row r="1628">
          <cell r="E1628" t="str">
            <v>LAD-R4</v>
          </cell>
          <cell r="F1628" t="str">
            <v>Реле</v>
          </cell>
          <cell r="G1628">
            <v>66.430000000000007</v>
          </cell>
          <cell r="J1628" t="str">
            <v xml:space="preserve"> 延时触头</v>
          </cell>
        </row>
        <row r="1629">
          <cell r="E1629" t="str">
            <v>LC1-D1810</v>
          </cell>
          <cell r="F1629" t="str">
            <v>Контактор</v>
          </cell>
          <cell r="G1629">
            <v>43.99</v>
          </cell>
          <cell r="J1629" t="str">
            <v>接触器</v>
          </cell>
        </row>
        <row r="1630">
          <cell r="E1630" t="str">
            <v>LC1-D2511M5C</v>
          </cell>
          <cell r="F1630" t="str">
            <v>Контактор</v>
          </cell>
          <cell r="G1630">
            <v>59.87</v>
          </cell>
          <cell r="J1630" t="str">
            <v>接触器</v>
          </cell>
        </row>
        <row r="1631">
          <cell r="E1631" t="str">
            <v>LC1-D3811M5C</v>
          </cell>
          <cell r="F1631" t="str">
            <v>Контактор</v>
          </cell>
          <cell r="G1631">
            <v>68.42</v>
          </cell>
          <cell r="J1631" t="str">
            <v>接触器</v>
          </cell>
        </row>
        <row r="1632">
          <cell r="E1632" t="str">
            <v>LC1-D6511M5C</v>
          </cell>
          <cell r="F1632" t="str">
            <v>Контактор</v>
          </cell>
          <cell r="G1632">
            <v>166.17</v>
          </cell>
          <cell r="J1632" t="str">
            <v>接触器</v>
          </cell>
        </row>
        <row r="1633">
          <cell r="E1633" t="str">
            <v>LC1-D8011M5C</v>
          </cell>
          <cell r="F1633" t="str">
            <v>Контактор</v>
          </cell>
          <cell r="G1633">
            <v>167.4</v>
          </cell>
          <cell r="J1633" t="str">
            <v>接触器</v>
          </cell>
        </row>
        <row r="1634">
          <cell r="E1634" t="str">
            <v>LC1-D9511M5C</v>
          </cell>
          <cell r="F1634" t="str">
            <v>Контактор</v>
          </cell>
          <cell r="G1634">
            <v>256.58</v>
          </cell>
          <cell r="J1634" t="str">
            <v>接触器</v>
          </cell>
        </row>
        <row r="1635">
          <cell r="E1635" t="str">
            <v>LD1D3211M7C</v>
          </cell>
          <cell r="F1635" t="str">
            <v>Включатель</v>
          </cell>
          <cell r="G1635">
            <v>114.66</v>
          </cell>
          <cell r="J1635" t="str">
            <v>接触器 220VAC 带阻容吸收</v>
          </cell>
        </row>
        <row r="1636">
          <cell r="E1636" t="str">
            <v>LD1D32M7C</v>
          </cell>
          <cell r="F1636" t="str">
            <v xml:space="preserve">Контактор </v>
          </cell>
          <cell r="G1636">
            <v>99.23</v>
          </cell>
          <cell r="J1636" t="str">
            <v>接触器 LD1D3211 220VAC 带阻容吸收</v>
          </cell>
        </row>
        <row r="1637">
          <cell r="E1637" t="str">
            <v>LD1D95M7C</v>
          </cell>
          <cell r="F1637" t="str">
            <v xml:space="preserve">Контактор  </v>
          </cell>
          <cell r="G1637">
            <v>330.76</v>
          </cell>
          <cell r="J1637" t="str">
            <v>接触器 LC1D9511  220VAC 带阻容吸收</v>
          </cell>
        </row>
        <row r="1638">
          <cell r="E1638" t="str">
            <v>LR2D1305</v>
          </cell>
          <cell r="F1638" t="str">
            <v>Реле перегрева</v>
          </cell>
          <cell r="G1638">
            <v>31.15</v>
          </cell>
          <cell r="J1638" t="str">
            <v>热继电器</v>
          </cell>
        </row>
        <row r="1639">
          <cell r="E1639" t="str">
            <v>LR2D1310</v>
          </cell>
          <cell r="F1639" t="str">
            <v>Реле перегрева</v>
          </cell>
          <cell r="G1639">
            <v>31.15</v>
          </cell>
          <cell r="J1639" t="str">
            <v>热继电器</v>
          </cell>
        </row>
        <row r="1640">
          <cell r="E1640" t="str">
            <v>LR2D1321</v>
          </cell>
          <cell r="F1640" t="str">
            <v>Реле перегрева</v>
          </cell>
          <cell r="G1640">
            <v>33.630000000000003</v>
          </cell>
          <cell r="J1640" t="str">
            <v>热继电器</v>
          </cell>
        </row>
        <row r="1641">
          <cell r="E1641" t="str">
            <v>LR2-D1322-C</v>
          </cell>
          <cell r="F1641" t="str">
            <v>Тепловое реле перегрузки</v>
          </cell>
          <cell r="G1641">
            <v>56.2</v>
          </cell>
          <cell r="J1641" t="str">
            <v>热过载继电器</v>
          </cell>
        </row>
        <row r="1642">
          <cell r="E1642" t="str">
            <v>LR2-D3353-C</v>
          </cell>
          <cell r="F1642" t="str">
            <v>Тепловое реле перегрузки</v>
          </cell>
          <cell r="G1642">
            <v>56.2</v>
          </cell>
          <cell r="J1642" t="str">
            <v>热过载继电器</v>
          </cell>
        </row>
        <row r="1643">
          <cell r="E1643" t="str">
            <v>LRD07C</v>
          </cell>
          <cell r="F1643" t="str">
            <v>Реле перегрева</v>
          </cell>
          <cell r="G1643">
            <v>31.15</v>
          </cell>
          <cell r="J1643" t="str">
            <v>热继电器</v>
          </cell>
        </row>
        <row r="1644">
          <cell r="E1644" t="str">
            <v>LRD-3355C</v>
          </cell>
          <cell r="F1644" t="str">
            <v>Тепловой реле</v>
          </cell>
          <cell r="G1644">
            <v>93.44</v>
          </cell>
          <cell r="J1644" t="str">
            <v>热继</v>
          </cell>
        </row>
        <row r="1645">
          <cell r="E1645" t="str">
            <v>LRD-3359C</v>
          </cell>
          <cell r="F1645" t="str">
            <v>Тепловой реле</v>
          </cell>
          <cell r="G1645">
            <v>111.9</v>
          </cell>
          <cell r="J1645" t="str">
            <v>热继</v>
          </cell>
        </row>
        <row r="1646">
          <cell r="E1646" t="str">
            <v>LW39-16B-4GC-32022X/3P</v>
          </cell>
          <cell r="F1646" t="str">
            <v>Переключатель</v>
          </cell>
          <cell r="G1646">
            <v>45.48</v>
          </cell>
          <cell r="J1646" t="str">
            <v xml:space="preserve"> 转换开关</v>
          </cell>
        </row>
        <row r="1647">
          <cell r="E1647" t="str">
            <v>LX4F8MW+DR5-TE4U</v>
          </cell>
          <cell r="F1647" t="str">
            <v>Обмотка контактора + блок выпрямители</v>
          </cell>
          <cell r="G1647">
            <v>244.36</v>
          </cell>
          <cell r="J1647" t="str">
            <v>接触器线圈+整流块</v>
          </cell>
        </row>
        <row r="1648">
          <cell r="E1648" t="str">
            <v>MY2-J</v>
          </cell>
          <cell r="F1648" t="str">
            <v>Реле</v>
          </cell>
          <cell r="G1648">
            <v>13.78</v>
          </cell>
          <cell r="J1648" t="str">
            <v xml:space="preserve"> 中间继电器</v>
          </cell>
        </row>
        <row r="1649">
          <cell r="E1649" t="str">
            <v>MY4-J</v>
          </cell>
          <cell r="F1649" t="str">
            <v>Реле 0821EW2</v>
          </cell>
          <cell r="G1649">
            <v>14.88</v>
          </cell>
          <cell r="J1649" t="str">
            <v xml:space="preserve"> 中间继电器</v>
          </cell>
        </row>
        <row r="1650">
          <cell r="E1650" t="str">
            <v>NGTC00-800/80</v>
          </cell>
          <cell r="F1650" t="str">
            <v>Предохранитель</v>
          </cell>
          <cell r="G1650">
            <v>17.53</v>
          </cell>
          <cell r="J1650" t="str">
            <v>熔芯</v>
          </cell>
        </row>
        <row r="1651">
          <cell r="E1651" t="str">
            <v>OSMC32N3D32</v>
          </cell>
          <cell r="F1651" t="str">
            <v>Прерыватель</v>
          </cell>
          <cell r="G1651">
            <v>79.11</v>
          </cell>
          <cell r="J1651" t="str">
            <v>断路器</v>
          </cell>
        </row>
        <row r="1652">
          <cell r="E1652" t="str">
            <v>OSMC32N3D63</v>
          </cell>
          <cell r="F1652" t="str">
            <v>Прерыватель</v>
          </cell>
          <cell r="G1652">
            <v>108.6</v>
          </cell>
          <cell r="J1652" t="str">
            <v>断路器</v>
          </cell>
        </row>
        <row r="1653">
          <cell r="E1653" t="str">
            <v>OSMC32N4D20</v>
          </cell>
          <cell r="F1653" t="str">
            <v>Прерыватель</v>
          </cell>
          <cell r="G1653">
            <v>109.15</v>
          </cell>
          <cell r="J1653" t="str">
            <v>断路器</v>
          </cell>
        </row>
        <row r="1654">
          <cell r="E1654" t="str">
            <v>OSMC32N4D32</v>
          </cell>
          <cell r="F1654" t="str">
            <v>Прерыватель</v>
          </cell>
          <cell r="G1654">
            <v>111.9</v>
          </cell>
          <cell r="J1654" t="str">
            <v>断路器</v>
          </cell>
        </row>
        <row r="1655">
          <cell r="E1655" t="str">
            <v>OSMC32N4D63</v>
          </cell>
          <cell r="F1655" t="str">
            <v>Прерыватель</v>
          </cell>
          <cell r="G1655">
            <v>154.91</v>
          </cell>
          <cell r="J1655" t="str">
            <v>断路器</v>
          </cell>
        </row>
        <row r="1656">
          <cell r="E1656" t="str">
            <v>PDR-II/200</v>
          </cell>
          <cell r="F1656" t="str">
            <v>Электронный нагреватель</v>
          </cell>
          <cell r="G1656">
            <v>79.930000000000007</v>
          </cell>
          <cell r="J1656" t="str">
            <v xml:space="preserve"> 电加热器</v>
          </cell>
        </row>
        <row r="1657">
          <cell r="E1657" t="str">
            <v>R134a</v>
          </cell>
          <cell r="F1657" t="str">
            <v>Охлаждающая жидкость</v>
          </cell>
          <cell r="G1657">
            <v>21.83</v>
          </cell>
          <cell r="J1657" t="str">
            <v xml:space="preserve"> 制冷剂</v>
          </cell>
        </row>
        <row r="1658">
          <cell r="E1658" t="str">
            <v>RXZE2S111M+RXM3AB2P7</v>
          </cell>
          <cell r="F1658" t="str">
            <v>Реле</v>
          </cell>
          <cell r="G1658">
            <v>6.61</v>
          </cell>
          <cell r="J1658" t="str">
            <v>继电器</v>
          </cell>
        </row>
        <row r="1659">
          <cell r="E1659" t="str">
            <v>S00001K4-11</v>
          </cell>
          <cell r="F1659" t="str">
            <v>Резистор демпфирующий, 3х0,0267 Ом, 105А</v>
          </cell>
          <cell r="G1659">
            <v>1693.07</v>
          </cell>
          <cell r="J1659" t="str">
            <v>RESISTOR;3x0.0267OHM;105.0A;NMA1009524 S00001K4-11;6SY7..AF72</v>
          </cell>
        </row>
        <row r="1660">
          <cell r="E1660" t="str">
            <v>SLC014S5A-220 400A</v>
          </cell>
          <cell r="F1660" t="str">
            <v>Вакуумный контактор</v>
          </cell>
          <cell r="G1660">
            <v>5457.51</v>
          </cell>
          <cell r="J1660" t="str">
            <v>高压真空接触器 (电磁闭锁)</v>
          </cell>
        </row>
        <row r="1661">
          <cell r="E1661" t="str">
            <v>TRM30</v>
          </cell>
          <cell r="F1661" t="str">
            <v>Предохранитель</v>
          </cell>
          <cell r="G1661">
            <v>47.29</v>
          </cell>
          <cell r="J1661" t="str">
            <v>保险</v>
          </cell>
        </row>
        <row r="1662">
          <cell r="E1662" t="str">
            <v>Typ ENG 144S</v>
          </cell>
          <cell r="F1662" t="str">
            <v>Трансформатор-блок питания , 230В - 24В/6А</v>
          </cell>
          <cell r="G1662">
            <v>992.28</v>
          </cell>
          <cell r="J1662" t="str">
            <v>24V DC开关电源</v>
          </cell>
        </row>
        <row r="1663">
          <cell r="E1663" t="str">
            <v>WH38008A</v>
          </cell>
          <cell r="F1663" t="str">
            <v>Изолированный трансформатор</v>
          </cell>
          <cell r="G1663">
            <v>12403.44</v>
          </cell>
          <cell r="J1663" t="str">
            <v>超隔离变压器</v>
          </cell>
        </row>
        <row r="1664">
          <cell r="E1664" t="str">
            <v>XB2-B33M1C</v>
          </cell>
          <cell r="F1664" t="str">
            <v>Кнопка с лампочкой</v>
          </cell>
          <cell r="G1664">
            <v>24.81</v>
          </cell>
          <cell r="J1664" t="str">
            <v>带灯按钮</v>
          </cell>
        </row>
        <row r="1665">
          <cell r="E1665" t="str">
            <v>XB2-BA31C</v>
          </cell>
          <cell r="F1665" t="str">
            <v>Кнопка</v>
          </cell>
          <cell r="G1665">
            <v>8.5500000000000007</v>
          </cell>
          <cell r="J1665" t="str">
            <v>按钮</v>
          </cell>
        </row>
        <row r="1666">
          <cell r="E1666" t="str">
            <v>XB2-BJ21C</v>
          </cell>
          <cell r="F1666" t="str">
            <v>Селекторный переключатель</v>
          </cell>
          <cell r="G1666">
            <v>11</v>
          </cell>
          <cell r="J1666" t="str">
            <v>选择开关</v>
          </cell>
        </row>
        <row r="1667">
          <cell r="E1667" t="str">
            <v>XB2-BJ25C</v>
          </cell>
          <cell r="F1667" t="str">
            <v>Селекторный переключатель</v>
          </cell>
          <cell r="G1667">
            <v>24.81</v>
          </cell>
          <cell r="J1667" t="str">
            <v>选择开关</v>
          </cell>
        </row>
        <row r="1668">
          <cell r="E1668" t="str">
            <v>XB2-BJ33C</v>
          </cell>
          <cell r="F1668" t="str">
            <v>Селекторный переключатель</v>
          </cell>
          <cell r="G1668">
            <v>28.66</v>
          </cell>
          <cell r="J1668" t="str">
            <v>选择开关</v>
          </cell>
        </row>
        <row r="1669">
          <cell r="E1669" t="str">
            <v>XB2-BL42C</v>
          </cell>
          <cell r="F1669" t="str">
            <v>Кнопка</v>
          </cell>
          <cell r="G1669">
            <v>8.5500000000000007</v>
          </cell>
          <cell r="J1669" t="str">
            <v>按钮</v>
          </cell>
        </row>
        <row r="1670">
          <cell r="E1670" t="str">
            <v>XB2-BVM3C</v>
          </cell>
          <cell r="F1670" t="str">
            <v>Индикатор</v>
          </cell>
          <cell r="G1670">
            <v>16.53</v>
          </cell>
          <cell r="J1670" t="str">
            <v>指示灯</v>
          </cell>
        </row>
        <row r="1671">
          <cell r="E1671" t="str">
            <v>XB2-BVM4C</v>
          </cell>
          <cell r="F1671" t="str">
            <v>Индикатор</v>
          </cell>
          <cell r="G1671">
            <v>16.53</v>
          </cell>
          <cell r="J1671" t="str">
            <v>指示灯</v>
          </cell>
        </row>
        <row r="1672">
          <cell r="E1672" t="str">
            <v>ZB2BJ2C</v>
          </cell>
          <cell r="F1672" t="str">
            <v>Переключатель поворотного типа</v>
          </cell>
          <cell r="G1672">
            <v>8.27</v>
          </cell>
          <cell r="J1672" t="str">
            <v>选择开关</v>
          </cell>
        </row>
        <row r="1673">
          <cell r="E1673" t="str">
            <v>ZB2BJ3C</v>
          </cell>
          <cell r="F1673" t="str">
            <v>Переключатель поворотного типа</v>
          </cell>
          <cell r="G1673">
            <v>8.27</v>
          </cell>
          <cell r="J1673" t="str">
            <v>选择开关</v>
          </cell>
        </row>
        <row r="1674">
          <cell r="E1674" t="str">
            <v>OSMC32N1D20 10A/1P</v>
          </cell>
          <cell r="F1674" t="str">
            <v>Прерыватель</v>
          </cell>
          <cell r="G1674">
            <v>189.63</v>
          </cell>
          <cell r="J1674" t="str">
            <v>断路器</v>
          </cell>
        </row>
        <row r="1675">
          <cell r="E1675" t="str">
            <v>OSMC32N1D25 20A/1P</v>
          </cell>
          <cell r="F1675" t="str">
            <v>Прерыватель</v>
          </cell>
          <cell r="G1675">
            <v>189.63</v>
          </cell>
          <cell r="J1675" t="str">
            <v>断路器</v>
          </cell>
        </row>
        <row r="1676">
          <cell r="E1676" t="str">
            <v>OSMC32N1D32 25A/1P</v>
          </cell>
          <cell r="F1676" t="str">
            <v>Прерыватель</v>
          </cell>
          <cell r="G1676">
            <v>189.63</v>
          </cell>
          <cell r="J1676" t="str">
            <v>断路器</v>
          </cell>
        </row>
        <row r="1677">
          <cell r="E1677" t="str">
            <v>OSMC32N2D10</v>
          </cell>
          <cell r="F1677" t="str">
            <v>Прерыватель</v>
          </cell>
          <cell r="G1677">
            <v>189.63</v>
          </cell>
          <cell r="J1677" t="str">
            <v>断路器</v>
          </cell>
        </row>
        <row r="1678">
          <cell r="E1678" t="str">
            <v>OSMC32N2D16</v>
          </cell>
          <cell r="F1678" t="str">
            <v>Прерыватель</v>
          </cell>
          <cell r="G1678">
            <v>189.63</v>
          </cell>
          <cell r="J1678" t="str">
            <v>断路器</v>
          </cell>
        </row>
        <row r="1679">
          <cell r="E1679" t="str">
            <v>OSMC32N2D20</v>
          </cell>
          <cell r="F1679" t="str">
            <v>Прерыватель</v>
          </cell>
          <cell r="G1679">
            <v>189.63</v>
          </cell>
          <cell r="J1679" t="str">
            <v>断路器</v>
          </cell>
        </row>
        <row r="1680">
          <cell r="E1680" t="str">
            <v>OSMC32N2D32</v>
          </cell>
          <cell r="F1680" t="str">
            <v>Прерыватель</v>
          </cell>
          <cell r="G1680">
            <v>189.63</v>
          </cell>
          <cell r="J1680" t="str">
            <v>断路器</v>
          </cell>
        </row>
        <row r="1681">
          <cell r="E1681" t="str">
            <v>OSMC32N3D20</v>
          </cell>
          <cell r="F1681" t="str">
            <v>Прерыватель</v>
          </cell>
          <cell r="G1681">
            <v>189.63</v>
          </cell>
          <cell r="J1681" t="str">
            <v>断路器</v>
          </cell>
        </row>
        <row r="1682">
          <cell r="E1682" t="str">
            <v>Q11F-16P-1 1/2"</v>
          </cell>
          <cell r="F1682" t="str">
            <v>1-1/2 Шаровой клапан</v>
          </cell>
          <cell r="G1682">
            <v>89.78</v>
          </cell>
          <cell r="J1682" t="str">
            <v>1-1/2球阀</v>
          </cell>
        </row>
        <row r="1683">
          <cell r="E1683" t="str">
            <v>MYGS-6/5</v>
          </cell>
          <cell r="F1683" t="str">
            <v>Варистор</v>
          </cell>
          <cell r="G1683">
            <v>112.7</v>
          </cell>
          <cell r="J1683" t="str">
            <v xml:space="preserve">压敏电阻 </v>
          </cell>
        </row>
        <row r="1684">
          <cell r="E1684" t="str">
            <v>TZQ7348</v>
          </cell>
          <cell r="F1684" t="str">
            <v>Гудок</v>
          </cell>
          <cell r="G1684">
            <v>78.83</v>
          </cell>
          <cell r="J1684" t="str">
            <v>喇叭</v>
          </cell>
        </row>
        <row r="1685">
          <cell r="E1685" t="str">
            <v>WJT-100-000</v>
          </cell>
          <cell r="F1685" t="str">
            <v>Токоприемник кабельного барабана</v>
          </cell>
          <cell r="G1685">
            <v>6063.9</v>
          </cell>
          <cell r="J1685" t="str">
            <v>电缆卷筒集电环</v>
          </cell>
        </row>
        <row r="1686">
          <cell r="E1686" t="str">
            <v>WJT-110-000</v>
          </cell>
          <cell r="F1686" t="str">
            <v>Изолятор токоприемника</v>
          </cell>
          <cell r="G1686">
            <v>118.52</v>
          </cell>
          <cell r="J1686" t="str">
            <v>集电环绝缘子</v>
          </cell>
        </row>
        <row r="1687">
          <cell r="E1687" t="str">
            <v>WJT-120-000</v>
          </cell>
          <cell r="F1687" t="str">
            <v>Изолятор токоприемника</v>
          </cell>
          <cell r="G1687">
            <v>118.52</v>
          </cell>
          <cell r="J1687" t="str">
            <v>集电环绝缘子</v>
          </cell>
        </row>
        <row r="1688">
          <cell r="E1688" t="str">
            <v>XB2-BL4342C</v>
          </cell>
          <cell r="F1688" t="str">
            <v>Кнопка, красный цвет</v>
          </cell>
          <cell r="G1688">
            <v>16.54</v>
          </cell>
          <cell r="J1688" t="str">
            <v>按钮 红色</v>
          </cell>
        </row>
        <row r="1689">
          <cell r="E1689" t="str">
            <v>JDHXTS</v>
          </cell>
          <cell r="F1689" t="str">
            <v>Щетка токоприемника</v>
          </cell>
          <cell r="G1689">
            <v>39.42</v>
          </cell>
          <cell r="J1689" t="str">
            <v>集电环小碳刷 5mmX15mmX30mm</v>
          </cell>
        </row>
        <row r="1690">
          <cell r="E1690" t="str">
            <v>6XV1830-3BH10, 2X1mm2</v>
          </cell>
          <cell r="F1690" t="str">
            <v>Специальный кабель связи</v>
          </cell>
          <cell r="G1690">
            <v>8.19</v>
          </cell>
          <cell r="J1690" t="str">
            <v>专用通讯线</v>
          </cell>
        </row>
        <row r="1691">
          <cell r="E1691" t="str">
            <v>A28H-16</v>
          </cell>
          <cell r="F1691" t="str">
            <v>Предохранительный клапан</v>
          </cell>
          <cell r="G1691">
            <v>97.69</v>
          </cell>
          <cell r="J1691" t="str">
            <v>安全阀</v>
          </cell>
        </row>
        <row r="1692">
          <cell r="E1692" t="str">
            <v>LS03-120</v>
          </cell>
          <cell r="F1692" t="str">
            <v>фильтр клапана  DR460A</v>
          </cell>
          <cell r="G1692">
            <v>218.3</v>
          </cell>
          <cell r="J1692" t="str">
            <v>液动换向阀过滤器</v>
          </cell>
        </row>
        <row r="1693">
          <cell r="E1693" t="str">
            <v>LS03-106</v>
          </cell>
          <cell r="F1693" t="str">
            <v>фильтр клапана DR460B</v>
          </cell>
          <cell r="G1693">
            <v>218.3</v>
          </cell>
          <cell r="J1693" t="str">
            <v>液动换向阀过滤器</v>
          </cell>
        </row>
        <row r="1694">
          <cell r="E1694" t="str">
            <v>KDDJTS</v>
          </cell>
          <cell r="F1694" t="str">
            <v>Щетка электродвигателя открывания ковша</v>
          </cell>
          <cell r="G1694">
            <v>29.77</v>
          </cell>
          <cell r="J1694" t="str">
            <v>开斗电机碳刷</v>
          </cell>
        </row>
        <row r="1695">
          <cell r="E1695" t="str">
            <v>HR180 0850-01-74N</v>
          </cell>
          <cell r="F1695" t="str">
            <v>Уплотнение поворотного соединения</v>
          </cell>
          <cell r="G1695">
            <v>121.59</v>
          </cell>
          <cell r="J1695" t="str">
            <v>旋转油气接头密封</v>
          </cell>
        </row>
        <row r="1696">
          <cell r="E1696" t="str">
            <v>LG12×8</v>
          </cell>
          <cell r="F1696" t="str">
            <v>Коллектор высокого давления</v>
          </cell>
          <cell r="G1696">
            <v>33.369999999999997</v>
          </cell>
          <cell r="J1696" t="str">
            <v>蓝管</v>
          </cell>
        </row>
        <row r="1697">
          <cell r="E1697" t="str">
            <v>JRQCGQ</v>
          </cell>
          <cell r="F1697" t="str">
            <v>Детектор нагревателя</v>
          </cell>
          <cell r="G1697">
            <v>25.95</v>
          </cell>
          <cell r="J1697" t="str">
            <v>加热器传感器</v>
          </cell>
        </row>
        <row r="1698">
          <cell r="E1698" t="str">
            <v>WJT-100-006</v>
          </cell>
          <cell r="F1698" t="str">
            <v>Щетка токоприемника</v>
          </cell>
          <cell r="G1698">
            <v>78.650000000000006</v>
          </cell>
          <cell r="J1698" t="str">
            <v>集电环小碳刷</v>
          </cell>
        </row>
        <row r="1699">
          <cell r="E1699" t="str">
            <v>GB/T 91 4X20</v>
          </cell>
          <cell r="F1699" t="str">
            <v>Шплинт</v>
          </cell>
          <cell r="G1699">
            <v>1.72</v>
          </cell>
          <cell r="J1699" t="str">
            <v>销</v>
          </cell>
        </row>
        <row r="1700">
          <cell r="E1700" t="str">
            <v>K1820.01.04.02</v>
          </cell>
          <cell r="F1700" t="str">
            <v>Штифт</v>
          </cell>
          <cell r="G1700">
            <v>22.97</v>
          </cell>
          <cell r="J1700" t="str">
            <v>销</v>
          </cell>
        </row>
        <row r="1701">
          <cell r="E1701" t="str">
            <v>K1820.01.04.03</v>
          </cell>
          <cell r="F1701" t="str">
            <v>Болт</v>
          </cell>
          <cell r="G1701">
            <v>160.79</v>
          </cell>
          <cell r="J1701" t="str">
            <v>螺栓</v>
          </cell>
        </row>
        <row r="1702">
          <cell r="E1702" t="str">
            <v>K1820.01.04.02.00</v>
          </cell>
          <cell r="F1702" t="str">
            <v>Кронштейн крепления каната</v>
          </cell>
          <cell r="G1702">
            <v>664.68</v>
          </cell>
          <cell r="J1702" t="str">
            <v>固定绳架</v>
          </cell>
        </row>
        <row r="1703">
          <cell r="E1703" t="str">
            <v>K1601.30.04.03.00</v>
          </cell>
          <cell r="F1703" t="str">
            <v>Палец</v>
          </cell>
          <cell r="G1703">
            <v>83.26</v>
          </cell>
          <cell r="J1703" t="str">
            <v>销</v>
          </cell>
        </row>
        <row r="1704">
          <cell r="E1704" t="str">
            <v>K1812.24.06.00</v>
          </cell>
          <cell r="F1704" t="str">
            <v>Механизм привода намотки кабеля</v>
          </cell>
          <cell r="G1704">
            <v>17114.57</v>
          </cell>
          <cell r="J1704" t="str">
            <v>排缆传动机构</v>
          </cell>
        </row>
        <row r="1705">
          <cell r="E1705" t="str">
            <v>K1802.24.06.01</v>
          </cell>
          <cell r="F1705" t="str">
            <v>Цепь</v>
          </cell>
          <cell r="G1705">
            <v>797.55</v>
          </cell>
          <cell r="J1705" t="str">
            <v>链条</v>
          </cell>
        </row>
        <row r="1706">
          <cell r="E1706" t="str">
            <v>K1802.24.06.02</v>
          </cell>
          <cell r="F1706" t="str">
            <v>Большая звёздочка</v>
          </cell>
          <cell r="G1706">
            <v>1579.14</v>
          </cell>
          <cell r="J1706" t="str">
            <v>大链轮</v>
          </cell>
        </row>
        <row r="1707">
          <cell r="E1707" t="str">
            <v>K1802.24.06.03</v>
          </cell>
          <cell r="F1707" t="str">
            <v>Однополярный редуктор</v>
          </cell>
          <cell r="G1707">
            <v>4854.63</v>
          </cell>
          <cell r="J1707" t="str">
            <v>单极减速机</v>
          </cell>
        </row>
        <row r="1708">
          <cell r="E1708" t="str">
            <v>K1802.24.06.04</v>
          </cell>
          <cell r="F1708" t="str">
            <v>Монтажная пластина</v>
          </cell>
          <cell r="G1708">
            <v>395.97</v>
          </cell>
          <cell r="J1708" t="str">
            <v>安装板</v>
          </cell>
        </row>
        <row r="1709">
          <cell r="E1709" t="str">
            <v>K1802.24.06.05</v>
          </cell>
          <cell r="F1709" t="str">
            <v>Малая звёздочка</v>
          </cell>
          <cell r="G1709">
            <v>789.57</v>
          </cell>
          <cell r="J1709" t="str">
            <v>小链轮</v>
          </cell>
        </row>
        <row r="1710">
          <cell r="E1710" t="str">
            <v>K1822.24.06.01.00</v>
          </cell>
          <cell r="F1710" t="str">
            <v>Натяжное колесо</v>
          </cell>
          <cell r="G1710">
            <v>797.55</v>
          </cell>
          <cell r="J1710" t="str">
            <v>张紧轮</v>
          </cell>
        </row>
        <row r="1711">
          <cell r="E1711" t="str">
            <v>K1822.24.06.02.00</v>
          </cell>
          <cell r="F1711" t="str">
            <v>Соединительное колесо</v>
          </cell>
          <cell r="G1711">
            <v>1105.4000000000001</v>
          </cell>
          <cell r="J1711" t="str">
            <v>连接轮</v>
          </cell>
        </row>
        <row r="1712">
          <cell r="E1712" t="str">
            <v>K1822.24.06.03.00</v>
          </cell>
          <cell r="F1712" t="str">
            <v>Опорное колесо</v>
          </cell>
          <cell r="G1712">
            <v>1116.56</v>
          </cell>
          <cell r="J1712" t="str">
            <v>支撑轮</v>
          </cell>
        </row>
        <row r="1713">
          <cell r="E1713" t="str">
            <v>K1802.24.06.04.00</v>
          </cell>
          <cell r="F1713" t="str">
            <v>Цепь передачи кабеля</v>
          </cell>
          <cell r="G1713">
            <v>1435.58</v>
          </cell>
          <cell r="J1713" t="str">
            <v>排缆链条</v>
          </cell>
        </row>
        <row r="1714">
          <cell r="E1714" t="str">
            <v>K1802.24.06.06</v>
          </cell>
          <cell r="F1714" t="str">
            <v>Цепь</v>
          </cell>
          <cell r="G1714">
            <v>797.55</v>
          </cell>
          <cell r="J1714" t="str">
            <v>链条</v>
          </cell>
        </row>
        <row r="1715">
          <cell r="E1715" t="str">
            <v>GB/T5783 M12X45</v>
          </cell>
          <cell r="F1715" t="str">
            <v>Болт</v>
          </cell>
          <cell r="G1715">
            <v>3.99</v>
          </cell>
          <cell r="J1715" t="str">
            <v xml:space="preserve">螺栓 </v>
          </cell>
        </row>
        <row r="1716">
          <cell r="E1716" t="str">
            <v>GB/97.1 12</v>
          </cell>
          <cell r="F1716" t="str">
            <v>Шайба</v>
          </cell>
          <cell r="G1716">
            <v>0.8</v>
          </cell>
          <cell r="J1716" t="str">
            <v xml:space="preserve">垫圈 </v>
          </cell>
        </row>
        <row r="1717">
          <cell r="E1717" t="str">
            <v>K1822.24.06.07</v>
          </cell>
          <cell r="F1717" t="str">
            <v>Пластина натяжителя</v>
          </cell>
          <cell r="G1717">
            <v>7.9</v>
          </cell>
          <cell r="J1717" t="str">
            <v>螺纹板</v>
          </cell>
        </row>
        <row r="1718">
          <cell r="E1718" t="str">
            <v>K1822.24.06.08</v>
          </cell>
          <cell r="F1718" t="str">
            <v>Болт</v>
          </cell>
          <cell r="G1718">
            <v>5.58</v>
          </cell>
          <cell r="J1718" t="str">
            <v>螺栓</v>
          </cell>
        </row>
        <row r="1719">
          <cell r="E1719" t="str">
            <v>GB/T6170 M12</v>
          </cell>
          <cell r="F1719" t="str">
            <v>Гайка</v>
          </cell>
          <cell r="G1719">
            <v>5.58</v>
          </cell>
          <cell r="J1719" t="str">
            <v>螺母</v>
          </cell>
        </row>
        <row r="1720">
          <cell r="E1720" t="str">
            <v>K1812.18.02.14</v>
          </cell>
          <cell r="F1720" t="str">
            <v>Ведущее колесо</v>
          </cell>
          <cell r="G1720">
            <v>57422.76</v>
          </cell>
          <cell r="J1720" t="str">
            <v>驱动轮</v>
          </cell>
        </row>
        <row r="1721">
          <cell r="E1721" t="str">
            <v>K1801.18.02.01</v>
          </cell>
          <cell r="F1721" t="str">
            <v>Приводной вал</v>
          </cell>
          <cell r="G1721">
            <v>41429.97</v>
          </cell>
          <cell r="J1721" t="str">
            <v>驱动轴</v>
          </cell>
        </row>
        <row r="1722">
          <cell r="E1722" t="str">
            <v>K1801.18.02.02</v>
          </cell>
          <cell r="F1722" t="str">
            <v>Кольцо манжеты</v>
          </cell>
          <cell r="G1722">
            <v>1349.45</v>
          </cell>
          <cell r="J1722" t="str">
            <v>止推垫圈</v>
          </cell>
        </row>
        <row r="1723">
          <cell r="E1723" t="str">
            <v>K1801.18.02.03</v>
          </cell>
          <cell r="F1723" t="str">
            <v>Стакан манжеты</v>
          </cell>
          <cell r="G1723">
            <v>229.69</v>
          </cell>
          <cell r="J1723" t="str">
            <v>挡圈</v>
          </cell>
        </row>
        <row r="1724">
          <cell r="E1724" t="str">
            <v>K1801.18.02.11</v>
          </cell>
          <cell r="F1724" t="str">
            <v>Манжета уплотнительная</v>
          </cell>
          <cell r="G1724">
            <v>143.56</v>
          </cell>
          <cell r="J1724" t="str">
            <v>水封</v>
          </cell>
        </row>
        <row r="1725">
          <cell r="E1725" t="str">
            <v>K1812.18.02.04</v>
          </cell>
          <cell r="F1725" t="str">
            <v>Кольцо упорное</v>
          </cell>
          <cell r="G1725">
            <v>1062.33</v>
          </cell>
          <cell r="J1725" t="str">
            <v>止推垫圈</v>
          </cell>
        </row>
        <row r="1726">
          <cell r="E1726" t="str">
            <v>GB/T 70 M16X65</v>
          </cell>
          <cell r="F1726" t="str">
            <v>Болт</v>
          </cell>
          <cell r="G1726">
            <v>17.23</v>
          </cell>
          <cell r="J1726" t="str">
            <v xml:space="preserve">螺钉 </v>
          </cell>
        </row>
        <row r="1727">
          <cell r="E1727" t="str">
            <v>K1801.18.02.05</v>
          </cell>
          <cell r="F1727" t="str">
            <v>Стакан подшипника</v>
          </cell>
          <cell r="G1727">
            <v>4306.75</v>
          </cell>
          <cell r="J1727" t="str">
            <v>轴承套杯</v>
          </cell>
        </row>
        <row r="1728">
          <cell r="E1728" t="str">
            <v>K1801.18.02.06</v>
          </cell>
          <cell r="F1728" t="str">
            <v>Борт-кольцо</v>
          </cell>
          <cell r="G1728">
            <v>430.68</v>
          </cell>
          <cell r="J1728" t="str">
            <v>挡圈</v>
          </cell>
        </row>
        <row r="1729">
          <cell r="E1729" t="str">
            <v>GB/T 5782 M24X140</v>
          </cell>
          <cell r="F1729" t="str">
            <v>Болт</v>
          </cell>
          <cell r="G1729">
            <v>17.23</v>
          </cell>
          <cell r="J1729" t="str">
            <v xml:space="preserve">螺钉 </v>
          </cell>
        </row>
        <row r="1730">
          <cell r="E1730" t="str">
            <v>K1801.18.02.07</v>
          </cell>
          <cell r="F1730" t="str">
            <v>Крышка подшипника</v>
          </cell>
          <cell r="G1730">
            <v>3741.99</v>
          </cell>
          <cell r="J1730" t="str">
            <v>轴承压盖</v>
          </cell>
        </row>
        <row r="1731">
          <cell r="E1731" t="str">
            <v>K1801.18.02.08</v>
          </cell>
          <cell r="F1731" t="str">
            <v>Подшипник 24148B</v>
          </cell>
          <cell r="G1731">
            <v>10950</v>
          </cell>
          <cell r="J1731" t="str">
            <v xml:space="preserve">轴承 </v>
          </cell>
        </row>
        <row r="1732">
          <cell r="E1732" t="str">
            <v>K1801.18.02.09</v>
          </cell>
          <cell r="F1732" t="str">
            <v>Манжета уплотнительная</v>
          </cell>
          <cell r="G1732">
            <v>660.37</v>
          </cell>
          <cell r="J1732" t="str">
            <v>J形油封</v>
          </cell>
        </row>
        <row r="1733">
          <cell r="E1733" t="str">
            <v>K1801.18.02.12</v>
          </cell>
          <cell r="F1733" t="str">
            <v>Фиксатор вала</v>
          </cell>
          <cell r="G1733">
            <v>114.85</v>
          </cell>
          <cell r="J1733" t="str">
            <v>挡板</v>
          </cell>
        </row>
        <row r="1734">
          <cell r="E1734" t="str">
            <v>K1801.18.02.13</v>
          </cell>
          <cell r="F1734" t="str">
            <v>Прокладка</v>
          </cell>
          <cell r="G1734">
            <v>85.27</v>
          </cell>
          <cell r="J1734" t="str">
            <v>垫片</v>
          </cell>
        </row>
        <row r="1735">
          <cell r="E1735" t="str">
            <v>GB/T32.1 M24X70</v>
          </cell>
          <cell r="F1735" t="str">
            <v>Болт M24x70</v>
          </cell>
          <cell r="G1735">
            <v>5.74</v>
          </cell>
          <cell r="J1735" t="str">
            <v xml:space="preserve">带孔螺栓 </v>
          </cell>
        </row>
        <row r="1736">
          <cell r="E1736" t="str">
            <v>D3X700</v>
          </cell>
          <cell r="F1736" t="str">
            <v>Проволока стальная D3x700</v>
          </cell>
          <cell r="G1736">
            <v>1.42</v>
          </cell>
          <cell r="J1736" t="str">
            <v xml:space="preserve">铁丝 </v>
          </cell>
        </row>
        <row r="1737">
          <cell r="E1737" t="str">
            <v>K1801.18.02.15</v>
          </cell>
          <cell r="F1737" t="str">
            <v>Стопор</v>
          </cell>
          <cell r="G1737">
            <v>56.85</v>
          </cell>
          <cell r="J1737" t="str">
            <v>挡板</v>
          </cell>
        </row>
        <row r="1738">
          <cell r="E1738" t="str">
            <v>DLJTDJ-4</v>
          </cell>
          <cell r="F1738" t="str">
            <v>Электродвигатель кабельного барабана</v>
          </cell>
          <cell r="G1738">
            <v>470</v>
          </cell>
          <cell r="J1738" t="str">
            <v>电缆卷筒电机</v>
          </cell>
        </row>
        <row r="1739">
          <cell r="E1739" t="str">
            <v>JDHZTS</v>
          </cell>
          <cell r="F1739" t="str">
            <v>Щетка токоприемника</v>
          </cell>
          <cell r="G1739">
            <v>51.94</v>
          </cell>
          <cell r="J1739" t="str">
            <v>集电中小碳刷 10mmX32mmX310mm</v>
          </cell>
        </row>
        <row r="1740">
          <cell r="E1740" t="str">
            <v>GJJ-800</v>
          </cell>
          <cell r="F1740" t="str">
            <v>Зеркало заднего вида</v>
          </cell>
          <cell r="G1740">
            <v>295.44</v>
          </cell>
          <cell r="J1740" t="str">
            <v>后视镜(广角镜)</v>
          </cell>
        </row>
        <row r="1741">
          <cell r="E1741" t="str">
            <v>K1801.07.01.11</v>
          </cell>
          <cell r="F1741" t="str">
            <v>Крышка</v>
          </cell>
          <cell r="G1741">
            <v>41.35</v>
          </cell>
          <cell r="J1741" t="str">
            <v>压盖</v>
          </cell>
        </row>
        <row r="1742">
          <cell r="E1742" t="str">
            <v>K1801.07.01.12</v>
          </cell>
          <cell r="F1742" t="str">
            <v>Опора сальника</v>
          </cell>
          <cell r="G1742">
            <v>89.55</v>
          </cell>
          <cell r="J1742" t="str">
            <v>油封支撑</v>
          </cell>
        </row>
        <row r="1743">
          <cell r="E1743" t="str">
            <v>K1801.07.01.13</v>
          </cell>
          <cell r="F1743" t="str">
            <v>V-образный сальник</v>
          </cell>
          <cell r="G1743">
            <v>513.80999999999995</v>
          </cell>
          <cell r="J1743" t="str">
            <v>V型密封</v>
          </cell>
        </row>
        <row r="1744">
          <cell r="E1744" t="str">
            <v>K1801.03.20.01</v>
          </cell>
          <cell r="F1744" t="str">
            <v>Ось шестерни</v>
          </cell>
          <cell r="G1744">
            <v>12943.22</v>
          </cell>
          <cell r="J1744" t="str">
            <v>齿轮轴</v>
          </cell>
        </row>
        <row r="1745">
          <cell r="E1745" t="str">
            <v>FT1580</v>
          </cell>
          <cell r="F1745" t="str">
            <v>Микропереключатель</v>
          </cell>
          <cell r="G1745">
            <v>689.98</v>
          </cell>
          <cell r="J1745" t="str">
            <v>微动开关</v>
          </cell>
        </row>
        <row r="1746">
          <cell r="E1746" t="str">
            <v>K1801.18.06.02</v>
          </cell>
          <cell r="F1746" t="str">
            <v>Штифт</v>
          </cell>
          <cell r="G1746">
            <v>64.03</v>
          </cell>
          <cell r="J1746" t="str">
            <v>销</v>
          </cell>
        </row>
        <row r="1747">
          <cell r="E1747" t="str">
            <v>K1601.33.06.00</v>
          </cell>
          <cell r="F1747" t="str">
            <v>Тяга</v>
          </cell>
          <cell r="G1747">
            <v>8420.84</v>
          </cell>
          <cell r="J1747" t="str">
            <v>拉杆</v>
          </cell>
        </row>
        <row r="1748">
          <cell r="E1748" t="str">
            <v>K1602.03.03.00</v>
          </cell>
          <cell r="F1748" t="str">
            <v>Палец стрелы</v>
          </cell>
          <cell r="G1748">
            <v>9032.1200000000008</v>
          </cell>
          <cell r="J1748" t="str">
            <v>起重臂根脚</v>
          </cell>
        </row>
        <row r="1749">
          <cell r="E1749" t="str">
            <v>K1601.03.04.00</v>
          </cell>
          <cell r="F1749" t="str">
            <v>Верхний балансир</v>
          </cell>
          <cell r="G1749">
            <v>11034.52</v>
          </cell>
          <cell r="J1749" t="str">
            <v>起重臂顶部平衡架</v>
          </cell>
        </row>
        <row r="1750">
          <cell r="E1750" t="str">
            <v>K1606.03.08.00</v>
          </cell>
          <cell r="F1750" t="str">
            <v>Успокоитель подъёмных канатов</v>
          </cell>
          <cell r="G1750">
            <v>8780.0300000000007</v>
          </cell>
          <cell r="J1750" t="str">
            <v>提升绳保护架</v>
          </cell>
        </row>
        <row r="1751">
          <cell r="E1751" t="str">
            <v>K1603.03.09.00</v>
          </cell>
          <cell r="F1751" t="str">
            <v xml:space="preserve">Ограничитель </v>
          </cell>
          <cell r="G1751">
            <v>28259.77</v>
          </cell>
          <cell r="J1751" t="str">
            <v>起重臂缓冲器</v>
          </cell>
        </row>
        <row r="1752">
          <cell r="E1752" t="str">
            <v>K1601.03.17.00</v>
          </cell>
          <cell r="F1752" t="str">
            <v>Натяжитель ремня</v>
          </cell>
          <cell r="G1752">
            <v>42921.07</v>
          </cell>
          <cell r="J1752" t="str">
            <v>皮带张紧器</v>
          </cell>
        </row>
        <row r="1753">
          <cell r="E1753" t="str">
            <v>K1601.03.19.00</v>
          </cell>
          <cell r="F1753" t="str">
            <v>Ограждение ремня напора</v>
          </cell>
          <cell r="G1753">
            <v>5444.88</v>
          </cell>
          <cell r="J1753" t="str">
            <v>推压皮带罩</v>
          </cell>
        </row>
        <row r="1754">
          <cell r="E1754" t="str">
            <v>K1602.03.22.00</v>
          </cell>
          <cell r="F1754" t="str">
            <v>Ограждения стрелы</v>
          </cell>
          <cell r="G1754">
            <v>13182.4</v>
          </cell>
          <cell r="J1754" t="str">
            <v>起重臂平台</v>
          </cell>
        </row>
        <row r="1755">
          <cell r="E1755" t="str">
            <v>K1619.03.23.00</v>
          </cell>
          <cell r="F1755" t="str">
            <v xml:space="preserve">Кожух кодировщика </v>
          </cell>
          <cell r="G1755">
            <v>945.48</v>
          </cell>
          <cell r="J1755" t="str">
            <v>编码器罩及附件</v>
          </cell>
        </row>
        <row r="1756">
          <cell r="E1756" t="str">
            <v>K1601.03.10.01</v>
          </cell>
          <cell r="F1756" t="str">
            <v>Упорное кольцо</v>
          </cell>
          <cell r="G1756">
            <v>463.41</v>
          </cell>
          <cell r="J1756" t="str">
            <v>挡油盘</v>
          </cell>
        </row>
        <row r="1757">
          <cell r="E1757" t="str">
            <v>K1601.03.10.02</v>
          </cell>
          <cell r="F1757" t="str">
            <v>Втулка</v>
          </cell>
          <cell r="G1757">
            <v>559.02</v>
          </cell>
          <cell r="J1757" t="str">
            <v>隔套</v>
          </cell>
        </row>
        <row r="1758">
          <cell r="E1758" t="str">
            <v>K1601.03.10.01.00</v>
          </cell>
          <cell r="F1758" t="str">
            <v>Хомут</v>
          </cell>
          <cell r="G1758">
            <v>924.8</v>
          </cell>
          <cell r="J1758" t="str">
            <v>环形锁紧螺母</v>
          </cell>
        </row>
        <row r="1759">
          <cell r="E1759" t="str">
            <v>K1601.03.10.03</v>
          </cell>
          <cell r="F1759" t="str">
            <v>Стопорная планка</v>
          </cell>
          <cell r="G1759">
            <v>156.77000000000001</v>
          </cell>
          <cell r="J1759" t="str">
            <v>轴端挡板</v>
          </cell>
        </row>
        <row r="1760">
          <cell r="E1760" t="str">
            <v>K1602.03.10.02</v>
          </cell>
          <cell r="F1760" t="str">
            <v>Стопор</v>
          </cell>
          <cell r="G1760">
            <v>707.46</v>
          </cell>
          <cell r="J1760" t="str">
            <v>挡板</v>
          </cell>
        </row>
        <row r="1761">
          <cell r="E1761" t="str">
            <v>K1601.03.17.01.00</v>
          </cell>
          <cell r="F1761" t="str">
            <v>Гидронасос ручной</v>
          </cell>
          <cell r="G1761">
            <v>8788.27</v>
          </cell>
          <cell r="J1761" t="str">
            <v>手动液压泵装置</v>
          </cell>
        </row>
        <row r="1762">
          <cell r="E1762" t="str">
            <v>K1601.03.21.01.00</v>
          </cell>
          <cell r="F1762" t="str">
            <v>Напорный вал</v>
          </cell>
          <cell r="G1762">
            <v>81541.13</v>
          </cell>
          <cell r="J1762" t="str">
            <v>推压轴</v>
          </cell>
        </row>
        <row r="1763">
          <cell r="E1763" t="str">
            <v>K1601.03.21.04.00</v>
          </cell>
          <cell r="F1763" t="str">
            <v>Внутренная часть седлового подшипника</v>
          </cell>
          <cell r="G1763">
            <v>24263.11</v>
          </cell>
          <cell r="J1763" t="str">
            <v>内侧鞍座体</v>
          </cell>
        </row>
        <row r="1764">
          <cell r="E1764" t="str">
            <v>K1601.03.21.05.00</v>
          </cell>
          <cell r="F1764" t="str">
            <v>Внешняя часть седлового подшипника</v>
          </cell>
          <cell r="G1764">
            <v>26334.09</v>
          </cell>
          <cell r="J1764" t="str">
            <v>外侧鞍座体</v>
          </cell>
        </row>
        <row r="1765">
          <cell r="E1765" t="str">
            <v>K1609.03.21.06.00</v>
          </cell>
          <cell r="F1765" t="str">
            <v>Установка разделительной</v>
          </cell>
          <cell r="G1765">
            <v>19630.04</v>
          </cell>
          <cell r="J1765" t="str">
            <v xml:space="preserve">分离架装置  </v>
          </cell>
        </row>
        <row r="1766">
          <cell r="E1766" t="str">
            <v>K1601.03.21.01</v>
          </cell>
          <cell r="F1766" t="str">
            <v>Прижимное кольцо</v>
          </cell>
          <cell r="G1766">
            <v>2566.8200000000002</v>
          </cell>
          <cell r="J1766" t="str">
            <v xml:space="preserve">固定环 </v>
          </cell>
        </row>
        <row r="1767">
          <cell r="E1767" t="str">
            <v>K1601.03.21.02</v>
          </cell>
          <cell r="F1767" t="str">
            <v>Торцевая крышка</v>
          </cell>
          <cell r="G1767">
            <v>1383.9</v>
          </cell>
          <cell r="J1767" t="str">
            <v>端盖</v>
          </cell>
        </row>
        <row r="1768">
          <cell r="E1768" t="str">
            <v>K1601.03.21.04</v>
          </cell>
          <cell r="F1768" t="str">
            <v>Втулка</v>
          </cell>
          <cell r="G1768">
            <v>7493.17</v>
          </cell>
          <cell r="J1768" t="str">
            <v xml:space="preserve">套  </v>
          </cell>
        </row>
        <row r="1769">
          <cell r="E1769" t="str">
            <v>K1601.03.21.05</v>
          </cell>
          <cell r="F1769" t="str">
            <v>Распорная втулка</v>
          </cell>
          <cell r="G1769">
            <v>9000.82</v>
          </cell>
          <cell r="J1769" t="str">
            <v xml:space="preserve">隔套 </v>
          </cell>
        </row>
        <row r="1770">
          <cell r="E1770" t="str">
            <v>K1601.03.21.07</v>
          </cell>
          <cell r="F1770" t="str">
            <v>Стопорная гайка</v>
          </cell>
          <cell r="G1770">
            <v>2400.3000000000002</v>
          </cell>
          <cell r="J1770" t="str">
            <v xml:space="preserve">防松螺母  </v>
          </cell>
        </row>
        <row r="1771">
          <cell r="E1771" t="str">
            <v>K1601.03.21.09</v>
          </cell>
          <cell r="F1771" t="str">
            <v>Прокладка</v>
          </cell>
          <cell r="G1771">
            <v>87</v>
          </cell>
          <cell r="J1771" t="str">
            <v>垫</v>
          </cell>
        </row>
        <row r="1772">
          <cell r="E1772" t="str">
            <v>K1601.03.21.11</v>
          </cell>
          <cell r="F1772" t="str">
            <v>Прокладочное кольцо</v>
          </cell>
          <cell r="G1772">
            <v>75.8</v>
          </cell>
          <cell r="J1772" t="str">
            <v xml:space="preserve">调整块  </v>
          </cell>
        </row>
        <row r="1773">
          <cell r="E1773" t="str">
            <v>K1601.03.21.12</v>
          </cell>
          <cell r="F1773" t="str">
            <v>Упор</v>
          </cell>
          <cell r="G1773">
            <v>43.07</v>
          </cell>
          <cell r="J1773" t="str">
            <v>挡块</v>
          </cell>
        </row>
        <row r="1774">
          <cell r="E1774" t="str">
            <v>K1601.03.21.13</v>
          </cell>
          <cell r="F1774" t="str">
            <v>Шпонка</v>
          </cell>
          <cell r="G1774">
            <v>40.770000000000003</v>
          </cell>
          <cell r="J1774" t="str">
            <v>防松键</v>
          </cell>
        </row>
        <row r="1775">
          <cell r="E1775" t="str">
            <v>K1601.03.21.14</v>
          </cell>
          <cell r="F1775" t="str">
            <v>Крепежная планка</v>
          </cell>
          <cell r="G1775">
            <v>748.51</v>
          </cell>
          <cell r="J1775" t="str">
            <v>锁紧板</v>
          </cell>
        </row>
        <row r="1776">
          <cell r="E1776" t="str">
            <v>K1601.03.21.16</v>
          </cell>
          <cell r="F1776" t="str">
            <v>Шпилька</v>
          </cell>
          <cell r="G1776">
            <v>316.98</v>
          </cell>
          <cell r="J1776" t="str">
            <v>双头螺栓</v>
          </cell>
        </row>
        <row r="1777">
          <cell r="E1777" t="str">
            <v>K1625.03.21.01.00</v>
          </cell>
          <cell r="F1777" t="str">
            <v>Седловой подшипник</v>
          </cell>
          <cell r="G1777">
            <v>27823.599999999999</v>
          </cell>
          <cell r="J1777" t="str">
            <v xml:space="preserve">鞍座 </v>
          </cell>
        </row>
        <row r="1778">
          <cell r="E1778" t="str">
            <v>K1625.03.21.05</v>
          </cell>
          <cell r="F1778" t="str">
            <v>Нажимная планка</v>
          </cell>
          <cell r="G1778">
            <v>133.80000000000001</v>
          </cell>
          <cell r="J1778" t="str">
            <v xml:space="preserve">压板 </v>
          </cell>
        </row>
        <row r="1779">
          <cell r="E1779" t="str">
            <v>K1625.03.21.06</v>
          </cell>
          <cell r="F1779" t="str">
            <v>Прокладка</v>
          </cell>
          <cell r="G1779">
            <v>59.43</v>
          </cell>
          <cell r="J1779" t="str">
            <v>垫片</v>
          </cell>
        </row>
        <row r="1780">
          <cell r="E1780" t="str">
            <v>K1625.03.21.07</v>
          </cell>
          <cell r="F1780" t="str">
            <v>Прокладка</v>
          </cell>
          <cell r="G1780">
            <v>91.59</v>
          </cell>
          <cell r="J1780" t="str">
            <v>垫片</v>
          </cell>
        </row>
        <row r="1781">
          <cell r="E1781" t="str">
            <v>K1625.03.21.08</v>
          </cell>
          <cell r="F1781" t="str">
            <v>БолтM42X100</v>
          </cell>
          <cell r="G1781">
            <v>20.39</v>
          </cell>
          <cell r="J1781" t="str">
            <v xml:space="preserve">螺栓 </v>
          </cell>
        </row>
        <row r="1782">
          <cell r="E1782" t="str">
            <v>JB/ZQ4446</v>
          </cell>
          <cell r="F1782" t="str">
            <v>Болт-пробка R3/8</v>
          </cell>
          <cell r="G1782">
            <v>1.72</v>
          </cell>
          <cell r="J1782" t="str">
            <v>螺塞</v>
          </cell>
        </row>
        <row r="1783">
          <cell r="E1783" t="str">
            <v>K1625.03.21.09</v>
          </cell>
          <cell r="F1783" t="str">
            <v>Штифт19X38</v>
          </cell>
          <cell r="G1783">
            <v>4.0199999999999996</v>
          </cell>
          <cell r="J1783" t="str">
            <v xml:space="preserve">销 </v>
          </cell>
        </row>
        <row r="1784">
          <cell r="E1784" t="str">
            <v>K1625.03.21.14</v>
          </cell>
          <cell r="F1784" t="str">
            <v>Торцевая гайка</v>
          </cell>
          <cell r="G1784">
            <v>1073.82</v>
          </cell>
          <cell r="J1784" t="str">
            <v>端部螺母</v>
          </cell>
        </row>
        <row r="1785">
          <cell r="E1785" t="str">
            <v>K1625.03.21.16</v>
          </cell>
          <cell r="F1785" t="str">
            <v>Шпонка</v>
          </cell>
          <cell r="G1785">
            <v>16.649999999999999</v>
          </cell>
          <cell r="J1785" t="str">
            <v>锁紧键</v>
          </cell>
        </row>
        <row r="1786">
          <cell r="E1786" t="str">
            <v>K1625.03.21.02.00</v>
          </cell>
          <cell r="F1786" t="str">
            <v>Монтажная плита</v>
          </cell>
          <cell r="G1786">
            <v>35549.35</v>
          </cell>
          <cell r="J1786" t="str">
            <v>安装圆盘</v>
          </cell>
        </row>
        <row r="1787">
          <cell r="E1787" t="str">
            <v>K1625.03.21.18</v>
          </cell>
          <cell r="F1787" t="str">
            <v>Болт M30X70</v>
          </cell>
          <cell r="G1787">
            <v>10.62</v>
          </cell>
          <cell r="J1787" t="str">
            <v xml:space="preserve">螺栓 </v>
          </cell>
        </row>
        <row r="1788">
          <cell r="E1788" t="str">
            <v>K1625.03.21.22</v>
          </cell>
          <cell r="F1788" t="str">
            <v>Уплотнительное кольцо</v>
          </cell>
          <cell r="G1788">
            <v>15.79</v>
          </cell>
          <cell r="J1788" t="str">
            <v>密封圈</v>
          </cell>
        </row>
        <row r="1789">
          <cell r="E1789" t="str">
            <v>K1625.03.21.23</v>
          </cell>
          <cell r="F1789" t="str">
            <v>Уплотнительное кольцо</v>
          </cell>
          <cell r="G1789">
            <v>22.11</v>
          </cell>
          <cell r="J1789" t="str">
            <v>密封圈</v>
          </cell>
        </row>
        <row r="1790">
          <cell r="E1790" t="str">
            <v>K1625.03.21.05.00</v>
          </cell>
          <cell r="F1790" t="str">
            <v>Каркасный уплотнитель</v>
          </cell>
          <cell r="G1790">
            <v>2101.69</v>
          </cell>
          <cell r="J1790" t="str">
            <v>骨架油封</v>
          </cell>
        </row>
        <row r="1791">
          <cell r="E1791" t="str">
            <v>K1625.03.21.26</v>
          </cell>
          <cell r="F1791" t="str">
            <v>Штифт</v>
          </cell>
          <cell r="G1791">
            <v>10.050000000000001</v>
          </cell>
          <cell r="J1791" t="str">
            <v>销</v>
          </cell>
        </row>
        <row r="1792">
          <cell r="E1792" t="str">
            <v>K1625.03.21.27</v>
          </cell>
          <cell r="F1792" t="str">
            <v>Болт</v>
          </cell>
          <cell r="G1792">
            <v>41.92</v>
          </cell>
          <cell r="J1792" t="str">
            <v>螺栓</v>
          </cell>
        </row>
        <row r="1793">
          <cell r="E1793" t="str">
            <v>K1625.03.21.28</v>
          </cell>
          <cell r="F1793" t="str">
            <v>БолтM30X330</v>
          </cell>
          <cell r="G1793">
            <v>170.83</v>
          </cell>
          <cell r="J1793" t="str">
            <v>螺栓M30X330</v>
          </cell>
        </row>
        <row r="1794">
          <cell r="E1794" t="str">
            <v>K1625.03.21.29</v>
          </cell>
          <cell r="F1794" t="str">
            <v>Уплотнительное кольцо в форме О</v>
          </cell>
          <cell r="G1794">
            <v>43.07</v>
          </cell>
          <cell r="J1794" t="str">
            <v>O型密封圈</v>
          </cell>
        </row>
        <row r="1795">
          <cell r="E1795" t="str">
            <v>K1601.05.04</v>
          </cell>
          <cell r="F1795" t="str">
            <v>Прокладка</v>
          </cell>
          <cell r="G1795">
            <v>5.46</v>
          </cell>
          <cell r="J1795" t="str">
            <v>卷筒密封垫</v>
          </cell>
        </row>
        <row r="1796">
          <cell r="E1796" t="str">
            <v>K1601.05.05</v>
          </cell>
          <cell r="F1796" t="str">
            <v>Прижимное кольцо</v>
          </cell>
          <cell r="G1796">
            <v>512.5</v>
          </cell>
          <cell r="J1796" t="str">
            <v>卷筒密封圈压盖</v>
          </cell>
        </row>
        <row r="1797">
          <cell r="E1797" t="str">
            <v>GB/T5781</v>
          </cell>
          <cell r="F1797" t="str">
            <v>Болт  M20X50</v>
          </cell>
          <cell r="G1797">
            <v>1.44</v>
          </cell>
          <cell r="J1797" t="str">
            <v>螺栓 M20X50</v>
          </cell>
        </row>
        <row r="1798">
          <cell r="E1798" t="str">
            <v>K1619.05.11.00</v>
          </cell>
          <cell r="F1798" t="str">
            <v>Кожух кодировщика</v>
          </cell>
          <cell r="G1798">
            <v>1126.3599999999999</v>
          </cell>
          <cell r="J1798" t="str">
            <v>编码器罩及组件</v>
          </cell>
        </row>
        <row r="1799">
          <cell r="E1799" t="str">
            <v>K1602.05.05</v>
          </cell>
          <cell r="F1799" t="str">
            <v>Штифт</v>
          </cell>
          <cell r="G1799">
            <v>31.01</v>
          </cell>
          <cell r="J1799" t="str">
            <v>销</v>
          </cell>
        </row>
        <row r="1800">
          <cell r="E1800" t="str">
            <v>K1602.05.06</v>
          </cell>
          <cell r="F1800" t="str">
            <v>Торцевая крышка</v>
          </cell>
          <cell r="G1800">
            <v>15.5</v>
          </cell>
          <cell r="J1800" t="str">
            <v>轴端挡板</v>
          </cell>
        </row>
        <row r="1801">
          <cell r="E1801" t="str">
            <v>K1602.05.07</v>
          </cell>
          <cell r="F1801" t="str">
            <v>Болт М12X35</v>
          </cell>
          <cell r="G1801">
            <v>4.3099999999999996</v>
          </cell>
          <cell r="J1801" t="str">
            <v>螺栓 M12X35</v>
          </cell>
        </row>
        <row r="1802">
          <cell r="E1802" t="str">
            <v>K1601.05.05.03</v>
          </cell>
          <cell r="F1802" t="str">
            <v>Стакан подшипника</v>
          </cell>
          <cell r="G1802">
            <v>1766.92</v>
          </cell>
          <cell r="J1802" t="str">
            <v>轴承套</v>
          </cell>
        </row>
        <row r="1803">
          <cell r="E1803" t="str">
            <v>K1601.05.05.04</v>
          </cell>
          <cell r="F1803" t="str">
            <v>Болт M30X90</v>
          </cell>
          <cell r="G1803">
            <v>11.48</v>
          </cell>
          <cell r="J1803" t="str">
            <v>螺栓 M30X90</v>
          </cell>
        </row>
        <row r="1804">
          <cell r="E1804" t="str">
            <v>NL30</v>
          </cell>
          <cell r="F1804" t="str">
            <v>Стопорная шайба</v>
          </cell>
          <cell r="G1804">
            <v>21.25</v>
          </cell>
          <cell r="J1804" t="str">
            <v>防松垫片30（成对）</v>
          </cell>
        </row>
        <row r="1805">
          <cell r="E1805" t="str">
            <v>K1601.05.05.05</v>
          </cell>
          <cell r="F1805" t="str">
            <v>Прижимная крышка</v>
          </cell>
          <cell r="G1805">
            <v>445.32</v>
          </cell>
          <cell r="J1805" t="str">
            <v>轴承挡板</v>
          </cell>
        </row>
        <row r="1806">
          <cell r="E1806" t="str">
            <v>K1604.05.05.06</v>
          </cell>
          <cell r="F1806" t="str">
            <v>Вал барабана подъема</v>
          </cell>
          <cell r="G1806">
            <v>39466.160000000003</v>
          </cell>
          <cell r="J1806" t="str">
            <v>提升卷筒轴</v>
          </cell>
        </row>
        <row r="1807">
          <cell r="E1807" t="str">
            <v>K1601.05.05.07</v>
          </cell>
          <cell r="F1807" t="str">
            <v>Распорная втулка</v>
          </cell>
          <cell r="G1807">
            <v>537.20000000000005</v>
          </cell>
          <cell r="J1807" t="str">
            <v>轴承隔套</v>
          </cell>
        </row>
        <row r="1808">
          <cell r="E1808" t="str">
            <v>K1602.05.05.01.00</v>
          </cell>
          <cell r="F1808" t="str">
            <v>Барабан подъема</v>
          </cell>
          <cell r="G1808">
            <v>327286.03999999998</v>
          </cell>
          <cell r="J1808" t="str">
            <v>提升卷筒组件</v>
          </cell>
        </row>
        <row r="1809">
          <cell r="E1809" t="str">
            <v>K1604.05.05.09</v>
          </cell>
          <cell r="F1809" t="str">
            <v>Стакан подшипника</v>
          </cell>
          <cell r="G1809">
            <v>1601.54</v>
          </cell>
          <cell r="J1809" t="str">
            <v>轴承套杯</v>
          </cell>
        </row>
        <row r="1810">
          <cell r="E1810" t="str">
            <v>K1601.05.05.11</v>
          </cell>
          <cell r="F1810" t="str">
            <v>Распорная втулка</v>
          </cell>
          <cell r="G1810">
            <v>706.88</v>
          </cell>
          <cell r="J1810" t="str">
            <v>轴承隔套</v>
          </cell>
        </row>
        <row r="1811">
          <cell r="E1811" t="str">
            <v>K1601.05.05.12</v>
          </cell>
          <cell r="F1811" t="str">
            <v>Прижимная крышка</v>
          </cell>
          <cell r="G1811">
            <v>2323.06</v>
          </cell>
          <cell r="J1811" t="str">
            <v>轴承压盖</v>
          </cell>
        </row>
        <row r="1812">
          <cell r="E1812" t="str">
            <v>GB/T5782</v>
          </cell>
          <cell r="F1812" t="str">
            <v>Болт M24X90</v>
          </cell>
          <cell r="G1812">
            <v>4.3099999999999996</v>
          </cell>
          <cell r="J1812" t="str">
            <v>螺栓 M24X90</v>
          </cell>
        </row>
        <row r="1813">
          <cell r="E1813" t="str">
            <v>K1601.05.05.13</v>
          </cell>
          <cell r="F1813" t="str">
            <v>Прокладка</v>
          </cell>
          <cell r="G1813">
            <v>199.55</v>
          </cell>
          <cell r="J1813" t="str">
            <v>调整垫</v>
          </cell>
        </row>
        <row r="1814">
          <cell r="E1814" t="str">
            <v>K1604.05.05.02.00</v>
          </cell>
          <cell r="F1814" t="str">
            <v>Привод кодировщика</v>
          </cell>
          <cell r="G1814">
            <v>380.43</v>
          </cell>
          <cell r="J1814" t="str">
            <v>连接装置</v>
          </cell>
        </row>
        <row r="1815">
          <cell r="E1815" t="str">
            <v>K1604.05.05.14</v>
          </cell>
          <cell r="F1815" t="str">
            <v>Прокладка</v>
          </cell>
          <cell r="G1815">
            <v>287.39999999999998</v>
          </cell>
          <cell r="J1815" t="str">
            <v>调整垫</v>
          </cell>
        </row>
        <row r="1816">
          <cell r="E1816" t="str">
            <v>HG4-338-66</v>
          </cell>
          <cell r="F1816" t="str">
            <v>Масляное уплотнение GJY0300</v>
          </cell>
          <cell r="G1816">
            <v>21.25</v>
          </cell>
          <cell r="J1816" t="str">
            <v>J形油封</v>
          </cell>
        </row>
        <row r="1817">
          <cell r="E1817" t="str">
            <v>K1604.05.05.15</v>
          </cell>
          <cell r="F1817" t="str">
            <v>Боковая крышка подъёмного барабана</v>
          </cell>
          <cell r="G1817">
            <v>31.01</v>
          </cell>
          <cell r="J1817" t="str">
            <v>压盖</v>
          </cell>
        </row>
        <row r="1818">
          <cell r="E1818" t="str">
            <v>K1601.07.03</v>
          </cell>
          <cell r="F1818" t="str">
            <v>Стопор</v>
          </cell>
          <cell r="G1818">
            <v>112.84</v>
          </cell>
          <cell r="J1818" t="str">
            <v>固定块</v>
          </cell>
        </row>
        <row r="1819">
          <cell r="E1819" t="str">
            <v>K1605.07.04</v>
          </cell>
          <cell r="F1819" t="str">
            <v>Фиксирующая втулка</v>
          </cell>
          <cell r="G1819">
            <v>1410.6</v>
          </cell>
          <cell r="J1819" t="str">
            <v>定位套</v>
          </cell>
        </row>
        <row r="1820">
          <cell r="E1820" t="str">
            <v>K1605.07.05.00</v>
          </cell>
          <cell r="F1820" t="str">
            <v>Кожух малой шестерни поворота</v>
          </cell>
          <cell r="G1820">
            <v>689.08</v>
          </cell>
          <cell r="J1820" t="str">
            <v>回转小齿轮罩</v>
          </cell>
        </row>
        <row r="1821">
          <cell r="E1821" t="str">
            <v>K1605.07.01.02</v>
          </cell>
          <cell r="F1821" t="str">
            <v>Малая шестерня поворота</v>
          </cell>
          <cell r="G1821">
            <v>16137.45</v>
          </cell>
          <cell r="J1821" t="str">
            <v>回转小齿轮</v>
          </cell>
        </row>
        <row r="1822">
          <cell r="E1822" t="str">
            <v>K1605.07.01.03</v>
          </cell>
          <cell r="F1822" t="str">
            <v>Крепёжный фланец</v>
          </cell>
          <cell r="G1822">
            <v>5551.4</v>
          </cell>
          <cell r="J1822" t="str">
            <v>支承圈</v>
          </cell>
        </row>
        <row r="1823">
          <cell r="E1823" t="str">
            <v>K1605.07.01.04</v>
          </cell>
          <cell r="F1823" t="str">
            <v>Стакан подшипника</v>
          </cell>
          <cell r="G1823">
            <v>902.12</v>
          </cell>
          <cell r="J1823" t="str">
            <v>轴承套杯</v>
          </cell>
        </row>
        <row r="1824">
          <cell r="E1824" t="str">
            <v>K1605.07.01.05</v>
          </cell>
          <cell r="F1824" t="str">
            <v>Подшипник</v>
          </cell>
          <cell r="G1824">
            <v>27426.82</v>
          </cell>
          <cell r="J1824" t="str">
            <v>双列圆锥滚子轴承</v>
          </cell>
        </row>
        <row r="1825">
          <cell r="E1825" t="str">
            <v>K1605.07.01.06</v>
          </cell>
          <cell r="F1825" t="str">
            <v>Прижимная крышка</v>
          </cell>
          <cell r="G1825">
            <v>169.69</v>
          </cell>
          <cell r="J1825" t="str">
            <v>轴端挡板</v>
          </cell>
        </row>
        <row r="1826">
          <cell r="E1826" t="str">
            <v>K1605.07.01.07</v>
          </cell>
          <cell r="F1826" t="str">
            <v>Регулировочная прокладка (комплект)</v>
          </cell>
          <cell r="G1826">
            <v>117.72</v>
          </cell>
          <cell r="J1826" t="str">
            <v>调整垫(全套)</v>
          </cell>
        </row>
        <row r="1827">
          <cell r="E1827" t="str">
            <v>GB/T32.1</v>
          </cell>
          <cell r="F1827" t="str">
            <v>Болт M36X110</v>
          </cell>
          <cell r="G1827">
            <v>18.66</v>
          </cell>
          <cell r="J1827" t="str">
            <v>螺栓 M36X110</v>
          </cell>
        </row>
        <row r="1828">
          <cell r="E1828" t="str">
            <v>K1605.07.01.09</v>
          </cell>
          <cell r="F1828" t="str">
            <v>Упорная втулка</v>
          </cell>
          <cell r="G1828">
            <v>841.25</v>
          </cell>
          <cell r="J1828" t="str">
            <v>支承隔套</v>
          </cell>
        </row>
        <row r="1829">
          <cell r="E1829" t="str">
            <v>K1605.07.01.11</v>
          </cell>
          <cell r="F1829" t="str">
            <v>Шплинт</v>
          </cell>
          <cell r="G1829">
            <v>0.56999999999999995</v>
          </cell>
          <cell r="J1829" t="str">
            <v>定位销</v>
          </cell>
        </row>
        <row r="1830">
          <cell r="E1830" t="str">
            <v>K1605.10.03.00</v>
          </cell>
          <cell r="F1830" t="str">
            <v>Балансир</v>
          </cell>
          <cell r="G1830">
            <v>5702.39</v>
          </cell>
          <cell r="J1830" t="str">
            <v>平衡板</v>
          </cell>
        </row>
        <row r="1831">
          <cell r="E1831" t="str">
            <v>K1605.10.04.00</v>
          </cell>
          <cell r="F1831" t="str">
            <v>Тяга балансира</v>
          </cell>
          <cell r="G1831">
            <v>3195.61</v>
          </cell>
          <cell r="J1831" t="str">
            <v>连接板</v>
          </cell>
        </row>
        <row r="1832">
          <cell r="E1832" t="str">
            <v>K1605.10.01</v>
          </cell>
          <cell r="F1832" t="str">
            <v>Штифт</v>
          </cell>
          <cell r="G1832">
            <v>637.4</v>
          </cell>
          <cell r="J1832" t="str">
            <v>销</v>
          </cell>
        </row>
        <row r="1833">
          <cell r="E1833" t="str">
            <v>K1605.10.02</v>
          </cell>
          <cell r="F1833" t="str">
            <v>Шайба</v>
          </cell>
          <cell r="G1833">
            <v>64.03</v>
          </cell>
          <cell r="J1833" t="str">
            <v>垫圈</v>
          </cell>
        </row>
        <row r="1834">
          <cell r="E1834" t="str">
            <v>GB/T6178</v>
          </cell>
          <cell r="F1834" t="str">
            <v>Гайка М36</v>
          </cell>
          <cell r="G1834">
            <v>7.75</v>
          </cell>
          <cell r="J1834" t="str">
            <v>螺母 M36</v>
          </cell>
        </row>
        <row r="1835">
          <cell r="E1835" t="str">
            <v>GB/T119.1</v>
          </cell>
          <cell r="F1835" t="str">
            <v>Штифт 25X75</v>
          </cell>
          <cell r="G1835">
            <v>2.0099999999999998</v>
          </cell>
          <cell r="J1835" t="str">
            <v>销 25X75</v>
          </cell>
        </row>
        <row r="1836">
          <cell r="E1836" t="str">
            <v>K1605.12.01</v>
          </cell>
          <cell r="F1836" t="str">
            <v>Центральная цапфа</v>
          </cell>
          <cell r="G1836">
            <v>58500.4</v>
          </cell>
          <cell r="J1836" t="str">
            <v>中央枢轴</v>
          </cell>
        </row>
        <row r="1837">
          <cell r="E1837" t="str">
            <v>K1617.12.02</v>
          </cell>
          <cell r="F1837" t="str">
            <v>Гайка центральной цапфы</v>
          </cell>
          <cell r="G1837">
            <v>25621.79</v>
          </cell>
          <cell r="J1837" t="str">
            <v>球面螺母</v>
          </cell>
        </row>
        <row r="1838">
          <cell r="E1838" t="str">
            <v>K1617.12.05</v>
          </cell>
          <cell r="F1838" t="str">
            <v>Стопорная планка</v>
          </cell>
          <cell r="G1838">
            <v>241.18</v>
          </cell>
          <cell r="J1838" t="str">
            <v>键</v>
          </cell>
        </row>
        <row r="1839">
          <cell r="E1839" t="str">
            <v>K1617.12.06</v>
          </cell>
          <cell r="F1839" t="str">
            <v>Прокладка</v>
          </cell>
          <cell r="G1839">
            <v>14.36</v>
          </cell>
          <cell r="J1839" t="str">
            <v>垫片</v>
          </cell>
        </row>
        <row r="1840">
          <cell r="E1840" t="str">
            <v>K1601.12.07</v>
          </cell>
          <cell r="F1840" t="str">
            <v>Стопор</v>
          </cell>
          <cell r="G1840">
            <v>244.05</v>
          </cell>
          <cell r="J1840" t="str">
            <v>专用键</v>
          </cell>
        </row>
        <row r="1841">
          <cell r="E1841" t="str">
            <v>K1605.12.01.00</v>
          </cell>
          <cell r="F1841" t="str">
            <v>Хомут</v>
          </cell>
          <cell r="G1841">
            <v>3145.08</v>
          </cell>
          <cell r="J1841" t="str">
            <v>开口圈</v>
          </cell>
        </row>
        <row r="1842">
          <cell r="E1842" t="str">
            <v>K1605.12.02.00</v>
          </cell>
          <cell r="F1842" t="str">
            <v xml:space="preserve">Масляное уплотнение </v>
          </cell>
          <cell r="G1842">
            <v>1464.3</v>
          </cell>
          <cell r="J1842" t="str">
            <v>J型油封</v>
          </cell>
        </row>
        <row r="1843">
          <cell r="E1843" t="str">
            <v>K1605.12.08</v>
          </cell>
          <cell r="F1843" t="str">
            <v>Прижимное кольцо</v>
          </cell>
          <cell r="G1843">
            <v>187.77</v>
          </cell>
          <cell r="J1843" t="str">
            <v>油封压板</v>
          </cell>
        </row>
        <row r="1844">
          <cell r="E1844" t="str">
            <v>K1618.12.00-01</v>
          </cell>
          <cell r="F1844" t="str">
            <v>Железная проволока D3X520</v>
          </cell>
          <cell r="G1844">
            <v>3.16</v>
          </cell>
          <cell r="J1844" t="str">
            <v>铁丝 D3X520</v>
          </cell>
        </row>
        <row r="1845">
          <cell r="E1845" t="str">
            <v>K1601.13.05.00</v>
          </cell>
          <cell r="F1845" t="str">
            <v>Сепаратор</v>
          </cell>
          <cell r="G1845">
            <v>42443.33</v>
          </cell>
          <cell r="J1845" t="str">
            <v>辊架</v>
          </cell>
        </row>
        <row r="1846">
          <cell r="E1846" t="str">
            <v>K1605.15.02.00</v>
          </cell>
          <cell r="F1846" t="str">
            <v>Постамент электродвигателей хода</v>
          </cell>
          <cell r="G1846">
            <v>53303.83</v>
          </cell>
          <cell r="J1846" t="str">
            <v>行走电机座</v>
          </cell>
        </row>
        <row r="1847">
          <cell r="E1847" t="str">
            <v>K1622.16.04.00</v>
          </cell>
          <cell r="F1847" t="str">
            <v>Кожух муфты двигателя хода</v>
          </cell>
          <cell r="G1847">
            <v>431.54</v>
          </cell>
          <cell r="J1847" t="str">
            <v>联轴器罩</v>
          </cell>
        </row>
        <row r="1848">
          <cell r="E1848" t="str">
            <v>K1605.17.01</v>
          </cell>
          <cell r="F1848" t="str">
            <v>Втулка венцевой шестерни</v>
          </cell>
          <cell r="G1848">
            <v>230.55</v>
          </cell>
          <cell r="J1848" t="str">
            <v>回转齿圈套</v>
          </cell>
        </row>
        <row r="1849">
          <cell r="E1849" t="str">
            <v>K1605.17.02</v>
          </cell>
          <cell r="F1849" t="str">
            <v>Болт M42*300</v>
          </cell>
          <cell r="G1849">
            <v>94.75</v>
          </cell>
          <cell r="J1849" t="str">
            <v>螺栓 M42X300</v>
          </cell>
        </row>
        <row r="1850">
          <cell r="E1850" t="str">
            <v>GB/T95</v>
          </cell>
          <cell r="F1850" t="str">
            <v>Шайба 42</v>
          </cell>
          <cell r="G1850">
            <v>2.87</v>
          </cell>
          <cell r="J1850" t="str">
            <v>垫圈 42</v>
          </cell>
        </row>
        <row r="1851">
          <cell r="E1851" t="str">
            <v>K1605.17.03</v>
          </cell>
          <cell r="F1851" t="str">
            <v xml:space="preserve">Шайба </v>
          </cell>
          <cell r="G1851">
            <v>22.11</v>
          </cell>
          <cell r="J1851" t="str">
            <v>垫圈</v>
          </cell>
        </row>
        <row r="1852">
          <cell r="E1852" t="str">
            <v>TZB7232</v>
          </cell>
          <cell r="F1852" t="str">
            <v>Гайка M42X3</v>
          </cell>
          <cell r="G1852">
            <v>7.18</v>
          </cell>
          <cell r="J1852" t="str">
            <v>螺母 M42X3</v>
          </cell>
        </row>
        <row r="1853">
          <cell r="E1853" t="str">
            <v>NL42</v>
          </cell>
          <cell r="F1853" t="str">
            <v>Стопорная шайба</v>
          </cell>
          <cell r="G1853">
            <v>31.58</v>
          </cell>
          <cell r="J1853" t="str">
            <v>防松垫片 NL42</v>
          </cell>
        </row>
        <row r="1854">
          <cell r="E1854" t="str">
            <v>K1605.17.05</v>
          </cell>
          <cell r="F1854" t="str">
            <v>Прижимная планка</v>
          </cell>
          <cell r="G1854">
            <v>82.12</v>
          </cell>
          <cell r="J1854" t="str">
            <v>压板</v>
          </cell>
        </row>
        <row r="1855">
          <cell r="E1855" t="str">
            <v>K1605.17.06</v>
          </cell>
          <cell r="F1855" t="str">
            <v>Болт M52X2X640</v>
          </cell>
          <cell r="G1855">
            <v>247.78</v>
          </cell>
          <cell r="J1855" t="str">
            <v>销头螺栓 M52X2X640</v>
          </cell>
        </row>
        <row r="1856">
          <cell r="E1856" t="str">
            <v>K1605.17.07</v>
          </cell>
          <cell r="F1856" t="str">
            <v>Гайка М52</v>
          </cell>
          <cell r="G1856">
            <v>23.26</v>
          </cell>
          <cell r="J1856" t="str">
            <v>开槽螺母 M52</v>
          </cell>
        </row>
        <row r="1857">
          <cell r="E1857" t="str">
            <v>K1605.17.08</v>
          </cell>
          <cell r="F1857" t="str">
            <v xml:space="preserve">Шайба </v>
          </cell>
          <cell r="G1857">
            <v>8.61</v>
          </cell>
          <cell r="J1857" t="str">
            <v>垫圈</v>
          </cell>
        </row>
        <row r="1858">
          <cell r="E1858" t="str">
            <v>K1605.17.09</v>
          </cell>
          <cell r="F1858" t="str">
            <v>Шпилька  M80X3-1000</v>
          </cell>
          <cell r="G1858">
            <v>778.09</v>
          </cell>
          <cell r="J1858" t="str">
            <v>双头螺柱 M80X3-1000</v>
          </cell>
        </row>
        <row r="1859">
          <cell r="E1859" t="str">
            <v>K1605.17.11</v>
          </cell>
          <cell r="F1859" t="str">
            <v xml:space="preserve">Шайба </v>
          </cell>
          <cell r="G1859">
            <v>51.39</v>
          </cell>
          <cell r="J1859" t="str">
            <v>垫圈</v>
          </cell>
        </row>
        <row r="1860">
          <cell r="E1860" t="str">
            <v>K1605.17.12</v>
          </cell>
          <cell r="F1860" t="str">
            <v>Гайка M80X3</v>
          </cell>
          <cell r="G1860">
            <v>52.54</v>
          </cell>
          <cell r="J1860" t="str">
            <v>螺母 M80X3</v>
          </cell>
        </row>
        <row r="1861">
          <cell r="E1861" t="str">
            <v>K1605.17.13</v>
          </cell>
          <cell r="F1861" t="str">
            <v>Шпилька  M80X3-1430</v>
          </cell>
          <cell r="G1861">
            <v>1327.05</v>
          </cell>
          <cell r="J1861" t="str">
            <v>双头螺柱 M80X3-1430</v>
          </cell>
        </row>
        <row r="1862">
          <cell r="E1862" t="str">
            <v>CY-M80-3/W</v>
          </cell>
          <cell r="F1862" t="str">
            <v>Супер гайка M80X3</v>
          </cell>
          <cell r="G1862">
            <v>4048.35</v>
          </cell>
          <cell r="J1862" t="str">
            <v>超级螺母 M80X3</v>
          </cell>
        </row>
        <row r="1863">
          <cell r="E1863" t="str">
            <v>K1605.17.14</v>
          </cell>
          <cell r="F1863" t="str">
            <v>Защита болта</v>
          </cell>
          <cell r="G1863">
            <v>69.48</v>
          </cell>
          <cell r="J1863" t="str">
            <v>螺栓挡板</v>
          </cell>
        </row>
        <row r="1864">
          <cell r="E1864" t="str">
            <v>K1605.17.15</v>
          </cell>
          <cell r="F1864" t="str">
            <v>Защитный кожух</v>
          </cell>
          <cell r="G1864">
            <v>277.93</v>
          </cell>
          <cell r="J1864" t="str">
            <v>保护套</v>
          </cell>
        </row>
        <row r="1865">
          <cell r="E1865" t="str">
            <v>K1605.17.16</v>
          </cell>
          <cell r="F1865" t="str">
            <v>Граверная шайба</v>
          </cell>
          <cell r="G1865">
            <v>93.03</v>
          </cell>
          <cell r="J1865" t="str">
            <v>挡圈</v>
          </cell>
        </row>
        <row r="1866">
          <cell r="E1866" t="str">
            <v>K1605.18.06.00</v>
          </cell>
          <cell r="F1866" t="str">
            <v>Опорное колесо в сборе</v>
          </cell>
          <cell r="G1866">
            <v>33878.769999999997</v>
          </cell>
          <cell r="J1866" t="str">
            <v>支轮组件（2）</v>
          </cell>
        </row>
        <row r="1867">
          <cell r="E1867" t="str">
            <v>K1605.18.01.04</v>
          </cell>
          <cell r="F1867" t="str">
            <v>Стопорная втулка</v>
          </cell>
          <cell r="G1867">
            <v>405.98</v>
          </cell>
          <cell r="J1867" t="str">
            <v>套筒</v>
          </cell>
        </row>
        <row r="1868">
          <cell r="E1868" t="str">
            <v>K1605.18.01.05</v>
          </cell>
          <cell r="F1868" t="str">
            <v>Палец</v>
          </cell>
          <cell r="G1868">
            <v>55.7</v>
          </cell>
          <cell r="J1868" t="str">
            <v>销轴</v>
          </cell>
        </row>
        <row r="1869">
          <cell r="E1869" t="str">
            <v>K1605.18.02.06</v>
          </cell>
          <cell r="F1869" t="str">
            <v>Прижимная крышка</v>
          </cell>
          <cell r="G1869">
            <v>186.05</v>
          </cell>
          <cell r="J1869" t="str">
            <v>轴端挡板</v>
          </cell>
        </row>
        <row r="1870">
          <cell r="E1870" t="str">
            <v>K1605.18.02.07</v>
          </cell>
          <cell r="F1870" t="str">
            <v>Кольцо</v>
          </cell>
          <cell r="G1870">
            <v>109.1</v>
          </cell>
          <cell r="J1870" t="str">
            <v>垫圈</v>
          </cell>
        </row>
        <row r="1871">
          <cell r="E1871" t="str">
            <v>K1605.18.02.12</v>
          </cell>
          <cell r="F1871" t="str">
            <v>Палец</v>
          </cell>
          <cell r="G1871">
            <v>43.93</v>
          </cell>
          <cell r="J1871" t="str">
            <v>销轴</v>
          </cell>
        </row>
        <row r="1872">
          <cell r="E1872" t="str">
            <v>K1605.18.02.14</v>
          </cell>
          <cell r="F1872" t="str">
            <v>Штифт</v>
          </cell>
          <cell r="G1872">
            <v>43.93</v>
          </cell>
          <cell r="J1872" t="str">
            <v>护罩</v>
          </cell>
        </row>
        <row r="1873">
          <cell r="E1873" t="str">
            <v>K1605.18.03.04</v>
          </cell>
          <cell r="F1873" t="str">
            <v>Стопорная втулка</v>
          </cell>
          <cell r="G1873">
            <v>105.08</v>
          </cell>
          <cell r="J1873" t="str">
            <v>套筒</v>
          </cell>
        </row>
        <row r="1874">
          <cell r="E1874" t="str">
            <v>K1605.18.03.06</v>
          </cell>
          <cell r="F1874" t="str">
            <v>Палец</v>
          </cell>
          <cell r="G1874">
            <v>40.479999999999997</v>
          </cell>
          <cell r="J1874" t="str">
            <v>销轴</v>
          </cell>
        </row>
        <row r="1875">
          <cell r="E1875" t="str">
            <v>K1605.18.05.06</v>
          </cell>
          <cell r="F1875" t="str">
            <v>Палец</v>
          </cell>
          <cell r="G1875">
            <v>130.63999999999999</v>
          </cell>
          <cell r="J1875" t="str">
            <v>销轴</v>
          </cell>
        </row>
        <row r="1876">
          <cell r="E1876" t="str">
            <v>K1605.18.05.07</v>
          </cell>
          <cell r="F1876" t="str">
            <v>Палец</v>
          </cell>
          <cell r="G1876">
            <v>82.4</v>
          </cell>
          <cell r="J1876" t="str">
            <v>销轴</v>
          </cell>
        </row>
        <row r="1877">
          <cell r="E1877" t="str">
            <v>K1605.18.05.08</v>
          </cell>
          <cell r="F1877" t="str">
            <v>Регулировочные пластины</v>
          </cell>
          <cell r="G1877">
            <v>257.54000000000002</v>
          </cell>
          <cell r="J1877" t="str">
            <v>垫片</v>
          </cell>
        </row>
        <row r="1878">
          <cell r="E1878" t="str">
            <v>K1605.18.05.09</v>
          </cell>
          <cell r="F1878" t="str">
            <v>Регулировочные пластины</v>
          </cell>
          <cell r="G1878">
            <v>83.26</v>
          </cell>
          <cell r="J1878" t="str">
            <v>垫片</v>
          </cell>
        </row>
        <row r="1879">
          <cell r="E1879" t="str">
            <v>K1605.18.05.12</v>
          </cell>
          <cell r="F1879" t="str">
            <v>Шайба</v>
          </cell>
          <cell r="G1879">
            <v>1.72</v>
          </cell>
          <cell r="J1879" t="str">
            <v>隔套</v>
          </cell>
        </row>
        <row r="1880">
          <cell r="E1880" t="str">
            <v>K1605.18.05.13</v>
          </cell>
          <cell r="F1880" t="str">
            <v>Защитный кожух</v>
          </cell>
          <cell r="G1880">
            <v>342.24</v>
          </cell>
          <cell r="J1880" t="str">
            <v>保护罩</v>
          </cell>
        </row>
        <row r="1881">
          <cell r="E1881" t="str">
            <v>K1605.18.05.14</v>
          </cell>
          <cell r="F1881" t="str">
            <v>Палец</v>
          </cell>
          <cell r="G1881">
            <v>119.73</v>
          </cell>
          <cell r="J1881" t="str">
            <v>销轴</v>
          </cell>
        </row>
        <row r="1882">
          <cell r="E1882" t="str">
            <v>IDM30C-IV220</v>
          </cell>
          <cell r="F1882" t="str">
            <v>Вольтметр IDM30U-IV220</v>
          </cell>
          <cell r="G1882">
            <v>3426.16</v>
          </cell>
          <cell r="J1882" t="str">
            <v>多功能表IDM30U-IV220</v>
          </cell>
        </row>
        <row r="1883">
          <cell r="E1883" t="str">
            <v>3SE5112-0CB01</v>
          </cell>
          <cell r="F1883" t="str">
            <v>Позиционный переключатель</v>
          </cell>
          <cell r="G1883">
            <v>199.83</v>
          </cell>
          <cell r="J1883" t="str">
            <v>行程开关</v>
          </cell>
        </row>
        <row r="1884">
          <cell r="E1884" t="str">
            <v>NAL12 -6K170L</v>
          </cell>
          <cell r="F1884" t="str">
            <v>Высоковольтный выключатель нагрузки</v>
          </cell>
          <cell r="G1884">
            <v>8135.74</v>
          </cell>
          <cell r="J1884" t="str">
            <v>高压负荷开关 侧装</v>
          </cell>
        </row>
        <row r="1885">
          <cell r="E1885" t="str">
            <v>MYGS-6/5 6KV,5KA</v>
          </cell>
          <cell r="F1885" t="str">
            <v>Варистор</v>
          </cell>
          <cell r="G1885">
            <v>856.47</v>
          </cell>
          <cell r="J1885" t="str">
            <v>压敏电阻</v>
          </cell>
        </row>
        <row r="1886">
          <cell r="E1886" t="str">
            <v>LQJ-6 6KV 300/5</v>
          </cell>
          <cell r="F1886" t="str">
            <v>Трансформатр тока</v>
          </cell>
          <cell r="G1886">
            <v>685.35</v>
          </cell>
          <cell r="J1886" t="str">
            <v>电流互感器</v>
          </cell>
        </row>
        <row r="1887">
          <cell r="E1887" t="str">
            <v>JDZ-6Q 6KVAC/100VAC</v>
          </cell>
          <cell r="F1887" t="str">
            <v>Трансформатор напряжения</v>
          </cell>
          <cell r="G1887">
            <v>856.47</v>
          </cell>
          <cell r="J1887" t="str">
            <v>电压互感器</v>
          </cell>
        </row>
        <row r="1888">
          <cell r="E1888" t="str">
            <v>NAL12 -6K170RE</v>
          </cell>
          <cell r="F1888" t="str">
            <v>Высоковольтный выключатель нагрузки</v>
          </cell>
          <cell r="G1888">
            <v>8135.74</v>
          </cell>
          <cell r="J1888" t="str">
            <v>高压负荷开关 侧装</v>
          </cell>
        </row>
        <row r="1889">
          <cell r="E1889" t="str">
            <v>NSX 100 N 100 3P FFC</v>
          </cell>
          <cell r="F1889" t="str">
            <v>Автоматический выключатель</v>
          </cell>
          <cell r="G1889">
            <v>593.17999999999995</v>
          </cell>
          <cell r="J1889" t="str">
            <v>NSX塑壳断路器</v>
          </cell>
        </row>
        <row r="1890">
          <cell r="E1890" t="str">
            <v>iMX+OF</v>
          </cell>
          <cell r="F1890" t="str">
            <v>Независимый расцепитель</v>
          </cell>
          <cell r="G1890">
            <v>228.54</v>
          </cell>
          <cell r="J1890" t="str">
            <v>分励脱扣+状态指示</v>
          </cell>
        </row>
        <row r="1891">
          <cell r="E1891" t="str">
            <v>Vigi MH</v>
          </cell>
          <cell r="F1891" t="str">
            <v>Модуль контроля изоляции</v>
          </cell>
          <cell r="G1891">
            <v>1724.42</v>
          </cell>
          <cell r="J1891" t="str">
            <v>漏电保护模块</v>
          </cell>
        </row>
        <row r="1892">
          <cell r="E1892" t="str">
            <v>NSX 400 N 400 3P FFC</v>
          </cell>
          <cell r="F1892" t="str">
            <v>Автоматический выключатель</v>
          </cell>
          <cell r="G1892">
            <v>1430.42</v>
          </cell>
          <cell r="J1892" t="str">
            <v>NSX塑壳断路器</v>
          </cell>
        </row>
        <row r="1893">
          <cell r="E1893" t="str">
            <v>Vigi MB</v>
          </cell>
          <cell r="F1893" t="str">
            <v>Модуль контроля изоляции</v>
          </cell>
          <cell r="G1893">
            <v>4429.3500000000004</v>
          </cell>
          <cell r="J1893" t="str">
            <v>附件-漏电保护模块</v>
          </cell>
        </row>
        <row r="1894">
          <cell r="E1894" t="str">
            <v>ZLSCB-450+50/6/0.38/0.69</v>
          </cell>
          <cell r="F1894" t="str">
            <v>Вспомогательный трансформатор</v>
          </cell>
          <cell r="G1894">
            <v>47420.19</v>
          </cell>
          <cell r="J1894" t="str">
            <v xml:space="preserve">辅助变压器 </v>
          </cell>
        </row>
        <row r="1895">
          <cell r="E1895" t="str">
            <v>ZLSCB-2000/6/0.66</v>
          </cell>
          <cell r="F1895" t="str">
            <v>Главный трансформатор</v>
          </cell>
          <cell r="G1895">
            <v>109014.18</v>
          </cell>
          <cell r="J1895" t="str">
            <v>主变压器</v>
          </cell>
        </row>
        <row r="1896">
          <cell r="E1896" t="str">
            <v>6FX8002-1AA01-1AD0</v>
          </cell>
          <cell r="F1896" t="str">
            <v>Кабель AOP</v>
          </cell>
          <cell r="G1896">
            <v>304.92</v>
          </cell>
          <cell r="J1896" t="str">
            <v xml:space="preserve">AOP电缆 </v>
          </cell>
        </row>
        <row r="1897">
          <cell r="E1897" t="str">
            <v>6EP1333-4BA00</v>
          </cell>
          <cell r="F1897" t="str">
            <v>Стабилизированный блок питания</v>
          </cell>
          <cell r="G1897">
            <v>1358.06</v>
          </cell>
          <cell r="J1897" t="str">
            <v>负载电源模块</v>
          </cell>
        </row>
        <row r="1898">
          <cell r="E1898" t="str">
            <v>6ES7590-1BC00-0AA0</v>
          </cell>
          <cell r="F1898" t="str">
            <v>Профильная шина 2000 мм</v>
          </cell>
          <cell r="G1898">
            <v>478.62</v>
          </cell>
          <cell r="J1898" t="str">
            <v>导轨2000 мм</v>
          </cell>
        </row>
        <row r="1899">
          <cell r="E1899" t="str">
            <v>6GK5208-0BA000-2AB2</v>
          </cell>
          <cell r="F1899" t="str">
            <v>Коммутатор</v>
          </cell>
          <cell r="G1899">
            <v>3234.37</v>
          </cell>
          <cell r="J1899" t="str">
            <v>交换机</v>
          </cell>
        </row>
        <row r="1900">
          <cell r="E1900" t="str">
            <v>6ES7592-1BM00-0XB0</v>
          </cell>
          <cell r="F1900" t="str">
            <v>Контроллер S7-1500</v>
          </cell>
          <cell r="G1900">
            <v>228.26</v>
          </cell>
          <cell r="J1900" t="str">
            <v>前连接器 S7-1500</v>
          </cell>
        </row>
        <row r="1901">
          <cell r="E1901" t="str">
            <v>6AG1522-1BF00-7AB0</v>
          </cell>
          <cell r="F1901" t="str">
            <v>Модуль дискретного вывода</v>
          </cell>
          <cell r="G1901">
            <v>1650.92</v>
          </cell>
          <cell r="J1901" t="str">
            <v>数字量输出模块</v>
          </cell>
        </row>
        <row r="1902">
          <cell r="E1902" t="str">
            <v>3RT5076-6AP36</v>
          </cell>
          <cell r="F1902" t="str">
            <v>Контактор</v>
          </cell>
          <cell r="G1902">
            <v>5363.34</v>
          </cell>
          <cell r="J1902" t="str">
            <v>接触器</v>
          </cell>
        </row>
        <row r="1903">
          <cell r="E1903" t="str">
            <v>8.IN81.2211.121</v>
          </cell>
          <cell r="F1903" t="str">
            <v>Инклинометр</v>
          </cell>
          <cell r="G1903">
            <v>5311.66</v>
          </cell>
          <cell r="J1903" t="str">
            <v>倾角仪</v>
          </cell>
        </row>
        <row r="1904">
          <cell r="E1904" t="str">
            <v>MT10</v>
          </cell>
          <cell r="F1904" t="str">
            <v>Терморегулятор</v>
          </cell>
          <cell r="G1904">
            <v>742.48</v>
          </cell>
          <cell r="J1904" t="str">
            <v>机械式温控器</v>
          </cell>
        </row>
        <row r="1905">
          <cell r="E1905" t="str">
            <v>H200</v>
          </cell>
          <cell r="F1905" t="str">
            <v>Нагреватель</v>
          </cell>
          <cell r="G1905">
            <v>256.97000000000003</v>
          </cell>
          <cell r="J1905" t="str">
            <v>加热器</v>
          </cell>
        </row>
        <row r="1906">
          <cell r="E1906" t="str">
            <v>iC65N-C 16A/2P</v>
          </cell>
          <cell r="F1906" t="str">
            <v>Автоматический выключатель</v>
          </cell>
          <cell r="G1906">
            <v>59.43</v>
          </cell>
          <cell r="J1906" t="str">
            <v>小型断路器</v>
          </cell>
        </row>
        <row r="1907">
          <cell r="E1907" t="str">
            <v>iC65N-D 32A/2P</v>
          </cell>
          <cell r="F1907" t="str">
            <v>Автоматический выключатель</v>
          </cell>
          <cell r="G1907">
            <v>42</v>
          </cell>
          <cell r="J1907" t="str">
            <v>小型断路器</v>
          </cell>
        </row>
        <row r="1908">
          <cell r="E1908" t="str">
            <v>QUINT-PS100-240AC/24DC/20</v>
          </cell>
          <cell r="F1908" t="str">
            <v>Источник питания AC100-240V/DC24 20A</v>
          </cell>
          <cell r="G1908">
            <v>970.74</v>
          </cell>
          <cell r="J1908" t="str">
            <v>电源AC100-240V/DC24 20A</v>
          </cell>
        </row>
        <row r="1909">
          <cell r="E1909" t="str">
            <v>VS-MSD-IP20-93E/10,0</v>
          </cell>
          <cell r="F1909" t="str">
            <v>Беспроводной модуль</v>
          </cell>
          <cell r="G1909">
            <v>882.31</v>
          </cell>
          <cell r="J1909" t="str">
            <v>无线附件</v>
          </cell>
        </row>
        <row r="1910">
          <cell r="E1910" t="str">
            <v>6ES7954-8LF02-0AA0</v>
          </cell>
          <cell r="F1910" t="str">
            <v>Карта памяти</v>
          </cell>
          <cell r="G1910">
            <v>1274.8</v>
          </cell>
          <cell r="J1910" t="str">
            <v>存储卡</v>
          </cell>
        </row>
        <row r="1911">
          <cell r="E1911" t="str">
            <v>iC65N-D 10A/3P</v>
          </cell>
          <cell r="F1911" t="str">
            <v>Автоматический выключатель</v>
          </cell>
          <cell r="G1911">
            <v>57</v>
          </cell>
          <cell r="J1911" t="str">
            <v>小型断路器</v>
          </cell>
        </row>
        <row r="1912">
          <cell r="E1912" t="str">
            <v>iC65N-D 63A/3P iOF</v>
          </cell>
          <cell r="F1912" t="str">
            <v>Автоматический выключатель</v>
          </cell>
          <cell r="G1912">
            <v>84</v>
          </cell>
          <cell r="J1912" t="str">
            <v>小型断路器</v>
          </cell>
        </row>
        <row r="1913">
          <cell r="E1913" t="str">
            <v>iC65N-D 32A/2P iOF</v>
          </cell>
          <cell r="F1913" t="str">
            <v>Автоматический выключатель</v>
          </cell>
          <cell r="G1913">
            <v>42</v>
          </cell>
          <cell r="J1913" t="str">
            <v>小型断路器</v>
          </cell>
        </row>
        <row r="1914">
          <cell r="E1914" t="str">
            <v>iC65N-D 20A/3P iOF</v>
          </cell>
          <cell r="F1914" t="str">
            <v>Автоматический выключатель</v>
          </cell>
          <cell r="G1914">
            <v>57</v>
          </cell>
          <cell r="J1914" t="str">
            <v>小型断路器</v>
          </cell>
        </row>
        <row r="1915">
          <cell r="E1915" t="str">
            <v>iC65N-D 32A/3P iOF</v>
          </cell>
          <cell r="F1915" t="str">
            <v>Автоматический выключатель</v>
          </cell>
          <cell r="G1915">
            <v>62</v>
          </cell>
          <cell r="J1915" t="str">
            <v>小型断路器</v>
          </cell>
        </row>
        <row r="1916">
          <cell r="E1916" t="str">
            <v>LRD-22C</v>
          </cell>
          <cell r="F1916" t="str">
            <v xml:space="preserve">Тепловое реле </v>
          </cell>
          <cell r="G1916">
            <v>89.01</v>
          </cell>
          <cell r="J1916" t="str">
            <v>热过载继电器</v>
          </cell>
        </row>
        <row r="1917">
          <cell r="E1917" t="str">
            <v>LA7-D3064C</v>
          </cell>
          <cell r="F1917" t="str">
            <v xml:space="preserve">Тепловое реле </v>
          </cell>
          <cell r="G1917">
            <v>353.44</v>
          </cell>
          <cell r="J1917" t="str">
            <v>热过载继电器</v>
          </cell>
        </row>
        <row r="1918">
          <cell r="E1918" t="str">
            <v>NSX160H TM125D 4P4D/C120H 4P D 125A</v>
          </cell>
          <cell r="F1918" t="str">
            <v>Автоматический выключатель</v>
          </cell>
          <cell r="G1918">
            <v>1151.3399999999999</v>
          </cell>
          <cell r="J1918" t="str">
            <v>断路器</v>
          </cell>
        </row>
        <row r="1919">
          <cell r="E1919" t="str">
            <v>LA7-D3064</v>
          </cell>
          <cell r="F1919" t="str">
            <v xml:space="preserve">Тепловое реле </v>
          </cell>
          <cell r="G1919">
            <v>353.44</v>
          </cell>
          <cell r="J1919" t="str">
            <v>热过载继电器</v>
          </cell>
        </row>
        <row r="1920">
          <cell r="E1920" t="str">
            <v>LRD-21</v>
          </cell>
          <cell r="F1920" t="str">
            <v xml:space="preserve">Тепловое реле </v>
          </cell>
          <cell r="G1920">
            <v>108.24</v>
          </cell>
          <cell r="J1920" t="str">
            <v>热过载继电器</v>
          </cell>
        </row>
        <row r="1921">
          <cell r="E1921" t="str">
            <v>6AV6671-1CB00-0AX2</v>
          </cell>
          <cell r="F1921" t="str">
            <v>Карта памяти для сенсорного экрана 128МБ</v>
          </cell>
          <cell r="G1921">
            <v>342.53</v>
          </cell>
          <cell r="J1921" t="str">
            <v>触摸屏存储卡</v>
          </cell>
        </row>
        <row r="1922">
          <cell r="E1922" t="str">
            <v>IDM30U-IV220(укрепленный）</v>
          </cell>
          <cell r="F1922" t="str">
            <v>Вольтметр IDM30U-IV220</v>
          </cell>
          <cell r="G1922">
            <v>3426.16</v>
          </cell>
          <cell r="J1922" t="str">
            <v>三相电压表 IDM30U-IV220</v>
          </cell>
        </row>
        <row r="1923">
          <cell r="E1923" t="str">
            <v>iC65N-D 20A/2P iOF</v>
          </cell>
          <cell r="F1923" t="str">
            <v>Автоматический выключатель</v>
          </cell>
          <cell r="G1923">
            <v>37</v>
          </cell>
          <cell r="J1923" t="str">
            <v>小型断路器</v>
          </cell>
        </row>
        <row r="1924">
          <cell r="E1924" t="str">
            <v>iC65N-D 25A/2P iOF</v>
          </cell>
          <cell r="F1924" t="str">
            <v>Автоматический выключатель</v>
          </cell>
          <cell r="G1924">
            <v>42</v>
          </cell>
          <cell r="J1924" t="str">
            <v>小型断路器</v>
          </cell>
        </row>
        <row r="1925">
          <cell r="E1925" t="str">
            <v>NSX 630 N 630 3P FFC</v>
          </cell>
          <cell r="F1925" t="str">
            <v>Автоматический выключатель</v>
          </cell>
          <cell r="G1925">
            <v>7871.88</v>
          </cell>
          <cell r="J1925" t="str">
            <v>NSX塑壳断路器</v>
          </cell>
        </row>
        <row r="1926">
          <cell r="E1926" t="str">
            <v>NSX100H TM100D 3P3D/C120H 3P D 100A</v>
          </cell>
          <cell r="F1926" t="str">
            <v>Автоматический выключатель</v>
          </cell>
          <cell r="G1926">
            <v>474.03</v>
          </cell>
          <cell r="J1926" t="str">
            <v>断路器</v>
          </cell>
        </row>
        <row r="1927">
          <cell r="E1927" t="str">
            <v>QUINT-PS100-240AC/12DC/10</v>
          </cell>
          <cell r="F1927" t="str">
            <v>источник питания AC100-240V/DC12 10A</v>
          </cell>
          <cell r="G1927">
            <v>970.74</v>
          </cell>
          <cell r="J1927" t="str">
            <v>电源AC100-240V/DC12 10A</v>
          </cell>
        </row>
        <row r="1928">
          <cell r="E1928" t="str">
            <v>6SL3054-0EF00-1BA0</v>
          </cell>
          <cell r="F1928" t="str">
            <v>Карта памяти CF CU320</v>
          </cell>
          <cell r="G1928">
            <v>2210.8000000000002</v>
          </cell>
          <cell r="J1928" t="str">
            <v>CF卡 CU320</v>
          </cell>
        </row>
        <row r="1929">
          <cell r="E1929" t="str">
            <v>OS32-D03</v>
          </cell>
          <cell r="F1929" t="str">
            <v>Высоковольтный предохранитель</v>
          </cell>
          <cell r="G1929">
            <v>266.16000000000003</v>
          </cell>
          <cell r="J1929" t="str">
            <v>隔离开关熔断器组</v>
          </cell>
        </row>
        <row r="1930">
          <cell r="E1930" t="str">
            <v>k1803.16.01.01</v>
          </cell>
          <cell r="F1930" t="str">
            <v>Крышка</v>
          </cell>
          <cell r="G1930">
            <v>14979.31</v>
          </cell>
          <cell r="J1930" t="str">
            <v xml:space="preserve">上盖 </v>
          </cell>
        </row>
        <row r="1931">
          <cell r="E1931" t="str">
            <v>53*2387</v>
          </cell>
          <cell r="F1931" t="str">
            <v>Масляный уплотнитель</v>
          </cell>
          <cell r="G1931">
            <v>184.91</v>
          </cell>
          <cell r="J1931" t="str">
            <v>油封4.75″*5.75″*0.5″</v>
          </cell>
        </row>
        <row r="1932">
          <cell r="E1932" t="str">
            <v>k1803.16.01.03</v>
          </cell>
          <cell r="F1932" t="str">
            <v>Вал-шестерня</v>
          </cell>
          <cell r="G1932">
            <v>2048.96</v>
          </cell>
          <cell r="J1932" t="str">
            <v xml:space="preserve">齿轴 </v>
          </cell>
        </row>
        <row r="1933">
          <cell r="E1933" t="str">
            <v>k1803.16.01.04</v>
          </cell>
          <cell r="F1933" t="str">
            <v>Группа регулировочных прокладок</v>
          </cell>
          <cell r="G1933">
            <v>951.63</v>
          </cell>
          <cell r="J1933" t="str">
            <v xml:space="preserve">调整垫片组 </v>
          </cell>
        </row>
        <row r="1934">
          <cell r="E1934" t="str">
            <v>k1803.16.01.36</v>
          </cell>
          <cell r="F1934" t="str">
            <v xml:space="preserve"> Упор</v>
          </cell>
          <cell r="G1934">
            <v>1553.06</v>
          </cell>
          <cell r="J1934" t="str">
            <v>顶块</v>
          </cell>
        </row>
        <row r="1935">
          <cell r="E1935" t="str">
            <v>k1803.16.01.07</v>
          </cell>
          <cell r="F1935" t="str">
            <v>Торцевая крышка</v>
          </cell>
          <cell r="G1935">
            <v>271.19</v>
          </cell>
          <cell r="J1935" t="str">
            <v xml:space="preserve">轴端挡板 </v>
          </cell>
        </row>
        <row r="1936">
          <cell r="E1936" t="str">
            <v>k1803.16.01.38</v>
          </cell>
          <cell r="F1936" t="str">
            <v>Группа регулировочных прокладок</v>
          </cell>
          <cell r="G1936">
            <v>951.63</v>
          </cell>
          <cell r="J1936" t="str">
            <v>调整垫片组</v>
          </cell>
        </row>
        <row r="1937">
          <cell r="E1937" t="str">
            <v>k1803.16.01.11</v>
          </cell>
          <cell r="F1937" t="str">
            <v>Соединительная панель</v>
          </cell>
          <cell r="G1937">
            <v>23806.27</v>
          </cell>
          <cell r="J1937" t="str">
            <v xml:space="preserve">联接板 </v>
          </cell>
        </row>
        <row r="1938">
          <cell r="E1938" t="str">
            <v>JB/ZQ4609-97 5х20000</v>
          </cell>
          <cell r="F1938" t="str">
            <v>Резиновый шнур φ5х20000</v>
          </cell>
          <cell r="G1938">
            <v>72.180000000000007</v>
          </cell>
          <cell r="J1938" t="str">
            <v>橡胶绳 φ5х20000</v>
          </cell>
        </row>
        <row r="1939">
          <cell r="E1939" t="str">
            <v>DIN472</v>
          </cell>
          <cell r="F1939" t="str">
            <v>Стопорное кольцо J280</v>
          </cell>
          <cell r="G1939">
            <v>29.62</v>
          </cell>
          <cell r="J1939" t="str">
            <v xml:space="preserve">挡圈J280 </v>
          </cell>
        </row>
        <row r="1940">
          <cell r="E1940" t="str">
            <v>22326CC/W33</v>
          </cell>
          <cell r="F1940" t="str">
            <v>Подшипник 130х280х93</v>
          </cell>
          <cell r="G1940">
            <v>1656.88</v>
          </cell>
          <cell r="J1940" t="str">
            <v>轴承130х280х93</v>
          </cell>
        </row>
        <row r="1941">
          <cell r="E1941" t="str">
            <v>k1803.16.01.13</v>
          </cell>
          <cell r="F1941" t="str">
            <v>Планетарное кольцо второй ступени</v>
          </cell>
          <cell r="G1941">
            <v>4340.96</v>
          </cell>
          <cell r="J1941" t="str">
            <v xml:space="preserve">第二级行星轮 </v>
          </cell>
        </row>
        <row r="1942">
          <cell r="E1942" t="str">
            <v>k1803.16.01.14</v>
          </cell>
          <cell r="F1942" t="str">
            <v>Зубчатая обойма второй ступени</v>
          </cell>
          <cell r="G1942">
            <v>56314.2</v>
          </cell>
          <cell r="J1942" t="str">
            <v xml:space="preserve">第二级内齿圈 </v>
          </cell>
        </row>
        <row r="1943">
          <cell r="E1943" t="str">
            <v>k1803.16.01.15</v>
          </cell>
          <cell r="F1943" t="str">
            <v>Штифт</v>
          </cell>
          <cell r="G1943">
            <v>660.36</v>
          </cell>
          <cell r="J1943" t="str">
            <v xml:space="preserve">销 </v>
          </cell>
        </row>
        <row r="1944">
          <cell r="E1944" t="str">
            <v>k1803.16.01.16</v>
          </cell>
          <cell r="F1944" t="str">
            <v>Планетарная опора второй ступени</v>
          </cell>
          <cell r="G1944">
            <v>9695.2999999999993</v>
          </cell>
          <cell r="J1944" t="str">
            <v>第二级行星架</v>
          </cell>
        </row>
        <row r="1945">
          <cell r="E1945" t="str">
            <v>k1803.16.01.17</v>
          </cell>
          <cell r="F1945" t="str">
            <v>Планетарная опора третьей ступени</v>
          </cell>
          <cell r="G1945">
            <v>31748.92</v>
          </cell>
          <cell r="J1945" t="str">
            <v xml:space="preserve">第三级行星架 </v>
          </cell>
        </row>
        <row r="1946">
          <cell r="E1946" t="str">
            <v>k1803.16.01.18</v>
          </cell>
          <cell r="F1946" t="str">
            <v>Планетарное колесо третьей ступени</v>
          </cell>
          <cell r="G1946">
            <v>8574.81</v>
          </cell>
          <cell r="J1946" t="str">
            <v xml:space="preserve">第三级行星轮 </v>
          </cell>
        </row>
        <row r="1947">
          <cell r="E1947" t="str">
            <v>DIN472 J287</v>
          </cell>
          <cell r="F1947" t="str">
            <v>Стопорное кольцо J287</v>
          </cell>
          <cell r="G1947">
            <v>29.62</v>
          </cell>
          <cell r="J1947" t="str">
            <v xml:space="preserve">挡圈J287 </v>
          </cell>
        </row>
        <row r="1948">
          <cell r="E1948" t="str">
            <v>RSL182330-A</v>
          </cell>
          <cell r="F1948" t="str">
            <v>Подшипник</v>
          </cell>
          <cell r="G1948">
            <v>5628.94</v>
          </cell>
          <cell r="J1948" t="str">
            <v xml:space="preserve">轴承 </v>
          </cell>
        </row>
        <row r="1949">
          <cell r="E1949" t="str">
            <v>NL20</v>
          </cell>
          <cell r="F1949" t="str">
            <v>Шайба 20</v>
          </cell>
          <cell r="G1949">
            <v>3.06</v>
          </cell>
          <cell r="J1949" t="str">
            <v>垫圈20</v>
          </cell>
        </row>
        <row r="1950">
          <cell r="E1950" t="str">
            <v>k1803.16.01.22</v>
          </cell>
          <cell r="F1950" t="str">
            <v>Гнездо подшипника</v>
          </cell>
          <cell r="G1950">
            <v>18487.439999999999</v>
          </cell>
          <cell r="J1950" t="str">
            <v xml:space="preserve">轴承座 </v>
          </cell>
        </row>
        <row r="1951">
          <cell r="E1951" t="str">
            <v>NCF29/500V/C3</v>
          </cell>
          <cell r="F1951" t="str">
            <v>Подшипник 500х670х100</v>
          </cell>
          <cell r="G1951">
            <v>26038.89</v>
          </cell>
          <cell r="J1951" t="str">
            <v>轴承500х670х100</v>
          </cell>
        </row>
        <row r="1952">
          <cell r="E1952" t="str">
            <v>64*4221</v>
          </cell>
          <cell r="F1952" t="str">
            <v>Масляный уплотнитель 19.5″*21.5″*0.875″</v>
          </cell>
          <cell r="G1952">
            <v>2305.33</v>
          </cell>
          <cell r="J1952" t="str">
            <v>油封19.5″*21.5″*0.875″</v>
          </cell>
        </row>
        <row r="1953">
          <cell r="E1953" t="str">
            <v>k1803.16.01.23</v>
          </cell>
          <cell r="F1953" t="str">
            <v>Заслонка</v>
          </cell>
          <cell r="G1953">
            <v>724.05</v>
          </cell>
          <cell r="J1953" t="str">
            <v xml:space="preserve">挡板 </v>
          </cell>
        </row>
        <row r="1954">
          <cell r="E1954" t="str">
            <v>k1803.16.01.24</v>
          </cell>
          <cell r="F1954" t="str">
            <v>Медная втулка</v>
          </cell>
          <cell r="G1954">
            <v>1084.8599999999999</v>
          </cell>
          <cell r="J1954" t="str">
            <v xml:space="preserve">铜套 </v>
          </cell>
        </row>
        <row r="1955">
          <cell r="E1955" t="str">
            <v>367.67*6.99 NBR70</v>
          </cell>
          <cell r="F1955" t="str">
            <v>Кольцо в форме О</v>
          </cell>
          <cell r="G1955">
            <v>9.6</v>
          </cell>
          <cell r="J1955" t="str">
            <v>O形圈</v>
          </cell>
        </row>
        <row r="1956">
          <cell r="E1956" t="str">
            <v>DIN472 J395</v>
          </cell>
          <cell r="F1956" t="str">
            <v>Стопорное кольцо J395</v>
          </cell>
          <cell r="G1956">
            <v>123.01</v>
          </cell>
          <cell r="J1956" t="str">
            <v xml:space="preserve">挡圈 </v>
          </cell>
        </row>
        <row r="1957">
          <cell r="E1957" t="str">
            <v>k1803.16.01.27</v>
          </cell>
          <cell r="F1957" t="str">
            <v>Штифт</v>
          </cell>
          <cell r="G1957">
            <v>1494.5</v>
          </cell>
          <cell r="J1957" t="str">
            <v xml:space="preserve">销 </v>
          </cell>
        </row>
        <row r="1958">
          <cell r="E1958" t="str">
            <v>k1803.16.01.28</v>
          </cell>
          <cell r="F1958" t="str">
            <v>Вал третьей ступени</v>
          </cell>
          <cell r="G1958">
            <v>16455.68</v>
          </cell>
          <cell r="J1958" t="str">
            <v xml:space="preserve">第三级太阳轴 </v>
          </cell>
        </row>
        <row r="1959">
          <cell r="E1959" t="str">
            <v>k1803.16.01.35</v>
          </cell>
          <cell r="F1959" t="str">
            <v>Зубчатая обойма третьей ступени</v>
          </cell>
          <cell r="G1959">
            <v>98342.46</v>
          </cell>
          <cell r="J1959" t="str">
            <v xml:space="preserve">第三级内齿圈 </v>
          </cell>
        </row>
        <row r="1960">
          <cell r="E1960" t="str">
            <v>DIN471</v>
          </cell>
          <cell r="F1960" t="str">
            <v>Стопорное кольцо</v>
          </cell>
          <cell r="G1960">
            <v>5.48</v>
          </cell>
          <cell r="J1960" t="str">
            <v xml:space="preserve">轴用挡圈 </v>
          </cell>
        </row>
        <row r="1961">
          <cell r="E1961" t="str">
            <v>k1803.16.01.33</v>
          </cell>
          <cell r="F1961" t="str">
            <v>Медная пластина</v>
          </cell>
          <cell r="G1961">
            <v>679.47</v>
          </cell>
          <cell r="J1961" t="str">
            <v>垫</v>
          </cell>
        </row>
        <row r="1962">
          <cell r="E1962" t="str">
            <v>JB/T7941.2-95</v>
          </cell>
          <cell r="F1962" t="str">
            <v>A50 Маслоуказатель В32</v>
          </cell>
          <cell r="G1962">
            <v>8.64</v>
          </cell>
          <cell r="J1962" t="str">
            <v>油标A50 В32</v>
          </cell>
        </row>
        <row r="1963">
          <cell r="E1963" t="str">
            <v>JB/ZQ4521-97 C-G11/4''</v>
          </cell>
          <cell r="F1963" t="str">
            <v>Вентиляционный фильтр C-G11/4''</v>
          </cell>
          <cell r="G1963">
            <v>52.93</v>
          </cell>
          <cell r="J1963" t="str">
            <v xml:space="preserve">通风罩C-G1 1/4″ </v>
          </cell>
        </row>
        <row r="1964">
          <cell r="E1964" t="str">
            <v>NL24</v>
          </cell>
          <cell r="F1964" t="str">
            <v>Шайба 24</v>
          </cell>
          <cell r="G1964">
            <v>5.0999999999999996</v>
          </cell>
          <cell r="J1964" t="str">
            <v>垫圈24</v>
          </cell>
        </row>
        <row r="1965">
          <cell r="E1965" t="str">
            <v>k1803.16.01.42</v>
          </cell>
          <cell r="F1965" t="str">
            <v>Масляная пробка G2A</v>
          </cell>
          <cell r="G1965">
            <v>18.29</v>
          </cell>
          <cell r="J1965" t="str">
            <v>油塞 G2A</v>
          </cell>
        </row>
        <row r="1966">
          <cell r="E1966" t="str">
            <v>k1803.16.01.29</v>
          </cell>
          <cell r="F1966" t="str">
            <v>БолтM20</v>
          </cell>
          <cell r="G1966">
            <v>8.9</v>
          </cell>
          <cell r="J1966" t="str">
            <v>螺柱M20</v>
          </cell>
        </row>
        <row r="1967">
          <cell r="E1967" t="str">
            <v>8-203-070</v>
          </cell>
          <cell r="F1967" t="str">
            <v>Винт M30*3.5*135</v>
          </cell>
          <cell r="G1967">
            <v>733.09</v>
          </cell>
          <cell r="J1967" t="str">
            <v>高强度可旋转吊环螺钉 M30*3.5*135</v>
          </cell>
        </row>
        <row r="1968">
          <cell r="E1968" t="str">
            <v>k1803.16.01.39</v>
          </cell>
          <cell r="F1968" t="str">
            <v>Регулировочное кольцо</v>
          </cell>
          <cell r="G1968">
            <v>78.510000000000005</v>
          </cell>
          <cell r="J1968" t="str">
            <v xml:space="preserve">调整环 </v>
          </cell>
        </row>
        <row r="1969">
          <cell r="E1969" t="str">
            <v>k1803.16.01.41</v>
          </cell>
          <cell r="F1969" t="str">
            <v>Медная пластина</v>
          </cell>
          <cell r="G1969">
            <v>7004.01</v>
          </cell>
          <cell r="J1969" t="str">
            <v>垫</v>
          </cell>
        </row>
        <row r="1970">
          <cell r="E1970" t="str">
            <v>k1803.16.01.44</v>
          </cell>
          <cell r="F1970" t="str">
            <v>Упорная втулка</v>
          </cell>
          <cell r="G1970">
            <v>268.83999999999997</v>
          </cell>
          <cell r="J1970" t="str">
            <v>轴套</v>
          </cell>
        </row>
        <row r="1971">
          <cell r="E1971" t="str">
            <v>JB/ZQ4444-2006</v>
          </cell>
          <cell r="F1971" t="str">
            <v>Пробка M48*2</v>
          </cell>
          <cell r="G1971">
            <v>5.15</v>
          </cell>
          <cell r="J1971" t="str">
            <v>螺塞M48*2</v>
          </cell>
        </row>
        <row r="1972">
          <cell r="E1972" t="str">
            <v>JB/ZQ4454-2006 60*68</v>
          </cell>
          <cell r="F1972" t="str">
            <v>Уплотнительная прокладка60*68</v>
          </cell>
          <cell r="G1972">
            <v>7.31</v>
          </cell>
          <cell r="J1972" t="str">
            <v>密封垫60*68</v>
          </cell>
        </row>
        <row r="1973">
          <cell r="E1973" t="str">
            <v>k1803.16.01.51</v>
          </cell>
          <cell r="F1973" t="str">
            <v>Датчик температурыM27*2</v>
          </cell>
          <cell r="G1973">
            <v>208.28</v>
          </cell>
          <cell r="J1973" t="str">
            <v>温度传感器M27*2</v>
          </cell>
        </row>
        <row r="1974">
          <cell r="E1974" t="str">
            <v>JB/ZQ4454-2006 48*55</v>
          </cell>
          <cell r="F1974" t="str">
            <v>Уплотнительная прокладка48*55</v>
          </cell>
          <cell r="G1974">
            <v>5.07</v>
          </cell>
          <cell r="J1974" t="str">
            <v>密封垫48*55</v>
          </cell>
        </row>
        <row r="1975">
          <cell r="E1975" t="str">
            <v>K1803.07.02.01.00</v>
          </cell>
          <cell r="F1975" t="str">
            <v>Верхняя крышка</v>
          </cell>
          <cell r="G1975">
            <v>24471.39</v>
          </cell>
          <cell r="J1975" t="str">
            <v>上盖</v>
          </cell>
        </row>
        <row r="1976">
          <cell r="E1976" t="str">
            <v>53*2837</v>
          </cell>
          <cell r="F1976" t="str">
            <v>Масляное уплотнение 4.75”*5.75”*0.5”</v>
          </cell>
          <cell r="G1976">
            <v>264.82</v>
          </cell>
          <cell r="J1976" t="str">
            <v>油封4.75”*5.75”*0.5”</v>
          </cell>
        </row>
        <row r="1977">
          <cell r="E1977" t="str">
            <v>941-932</v>
          </cell>
          <cell r="F1977" t="str">
            <v>Подшипник 101.6*212.725*66.675</v>
          </cell>
          <cell r="G1977">
            <v>2566.4899999999998</v>
          </cell>
          <cell r="J1977" t="str">
            <v>轴承101.6*212.725*66.675</v>
          </cell>
        </row>
        <row r="1978">
          <cell r="E1978" t="str">
            <v>L853049-L853010</v>
          </cell>
          <cell r="F1978" t="str">
            <v>Подшипник 276.225*352.425*36.512</v>
          </cell>
          <cell r="G1978">
            <v>7202.72</v>
          </cell>
          <cell r="J1978" t="str">
            <v>轴承276.225*352.425*36.512</v>
          </cell>
        </row>
        <row r="1979">
          <cell r="E1979" t="str">
            <v>K1803.16.01.06</v>
          </cell>
          <cell r="F1979" t="str">
            <v>Вал второй передачиа</v>
          </cell>
          <cell r="G1979">
            <v>5742.24</v>
          </cell>
          <cell r="J1979" t="str">
            <v xml:space="preserve">第二级太阳轴 </v>
          </cell>
        </row>
        <row r="1980">
          <cell r="E1980" t="str">
            <v>JB/ZQ4451-97</v>
          </cell>
          <cell r="F1980" t="str">
            <v>Болт-пробка G1 1/4A</v>
          </cell>
          <cell r="G1980">
            <v>4.01</v>
          </cell>
          <cell r="J1980" t="str">
            <v>螺塞 G1 1/4A</v>
          </cell>
        </row>
        <row r="1981">
          <cell r="E1981" t="str">
            <v>339.57*5.33 NBR70</v>
          </cell>
          <cell r="F1981" t="str">
            <v>Уплотнительное кольцо в форме О</v>
          </cell>
          <cell r="G1981">
            <v>11.35</v>
          </cell>
          <cell r="J1981" t="str">
            <v>O形圈</v>
          </cell>
        </row>
        <row r="1982">
          <cell r="E1982" t="str">
            <v>K1803.16.01.08</v>
          </cell>
          <cell r="F1982" t="str">
            <v>Регулировочные шайбы</v>
          </cell>
          <cell r="G1982">
            <v>1236.31</v>
          </cell>
          <cell r="J1982" t="str">
            <v xml:space="preserve">调整垫片组 </v>
          </cell>
        </row>
        <row r="1983">
          <cell r="E1983" t="str">
            <v>K1803.16.01.09</v>
          </cell>
          <cell r="F1983" t="str">
            <v>Шестерня</v>
          </cell>
          <cell r="G1983">
            <v>21786.82</v>
          </cell>
          <cell r="J1983" t="str">
            <v xml:space="preserve">齿轮 </v>
          </cell>
        </row>
        <row r="1984">
          <cell r="E1984" t="str">
            <v>JB/ZQ4521-97 C-G11/2A</v>
          </cell>
          <cell r="F1984" t="str">
            <v>Вентиляционный фильтр C-G11/2A</v>
          </cell>
          <cell r="G1984">
            <v>84.39</v>
          </cell>
          <cell r="J1984" t="str">
            <v>通风罩 C-G11/2A</v>
          </cell>
        </row>
        <row r="1985">
          <cell r="E1985" t="str">
            <v>JB/ZQ4609-97 6*15000</v>
          </cell>
          <cell r="F1985" t="str">
            <v>Круглая резина 6*15000</v>
          </cell>
          <cell r="G1985">
            <v>93.77</v>
          </cell>
          <cell r="J1985" t="str">
            <v>圆橡胶 6*15000</v>
          </cell>
        </row>
        <row r="1986">
          <cell r="E1986" t="str">
            <v>K1803.07.02.02</v>
          </cell>
          <cell r="F1986" t="str">
            <v>Зубчатая обойма второй ступени</v>
          </cell>
          <cell r="G1986">
            <v>58091.32</v>
          </cell>
          <cell r="J1986" t="str">
            <v xml:space="preserve">第二级内齿圈 </v>
          </cell>
        </row>
        <row r="1987">
          <cell r="E1987" t="str">
            <v>K1803.07.02.01</v>
          </cell>
          <cell r="F1987" t="str">
            <v>Планетарная опора</v>
          </cell>
          <cell r="G1987">
            <v>22148.17</v>
          </cell>
          <cell r="J1987" t="str">
            <v xml:space="preserve">行星架 </v>
          </cell>
        </row>
        <row r="1988">
          <cell r="E1988" t="str">
            <v>NCF1892V</v>
          </cell>
          <cell r="F1988" t="str">
            <v>Подшипник 460*580*56</v>
          </cell>
          <cell r="G1988">
            <v>9934.7900000000009</v>
          </cell>
          <cell r="J1988" t="str">
            <v>轴承460*580*56</v>
          </cell>
        </row>
        <row r="1989">
          <cell r="E1989" t="str">
            <v>64-4206</v>
          </cell>
          <cell r="F1989" t="str">
            <v>Масляное уплотнение 18”*19.5”*0.687”</v>
          </cell>
          <cell r="G1989">
            <v>1765.45</v>
          </cell>
          <cell r="J1989" t="str">
            <v>油封18”*19.5”*0.687”</v>
          </cell>
        </row>
        <row r="1990">
          <cell r="E1990" t="str">
            <v>318*6.3 NBR70</v>
          </cell>
          <cell r="F1990" t="str">
            <v>Уплотнительное кольцо в форме О</v>
          </cell>
          <cell r="G1990">
            <v>22.7</v>
          </cell>
          <cell r="J1990" t="str">
            <v xml:space="preserve">O形圈 </v>
          </cell>
        </row>
        <row r="1991">
          <cell r="E1991" t="str">
            <v>K1803.07.02.06</v>
          </cell>
          <cell r="F1991" t="str">
            <v>Стопорное кольцо</v>
          </cell>
          <cell r="G1991">
            <v>180.86</v>
          </cell>
          <cell r="J1991" t="str">
            <v xml:space="preserve">挡圈 </v>
          </cell>
        </row>
        <row r="1992">
          <cell r="E1992" t="str">
            <v>JB/ZQ4448-86</v>
          </cell>
          <cell r="F1992" t="str">
            <v>Болт-пробка R1 1/2A</v>
          </cell>
          <cell r="G1992">
            <v>6.19</v>
          </cell>
          <cell r="J1992" t="str">
            <v>螺塞R1 1/2A</v>
          </cell>
        </row>
        <row r="1993">
          <cell r="E1993" t="str">
            <v>JB/ZQ4454-86</v>
          </cell>
          <cell r="F1993" t="str">
            <v>Уплотнительная прокладка60*68</v>
          </cell>
          <cell r="G1993">
            <v>9.5</v>
          </cell>
          <cell r="J1993" t="str">
            <v>密封垫60*68</v>
          </cell>
        </row>
        <row r="1994">
          <cell r="E1994" t="str">
            <v>K1803.07.02.05</v>
          </cell>
          <cell r="F1994" t="str">
            <v>Фланец</v>
          </cell>
          <cell r="G1994">
            <v>22345.71</v>
          </cell>
          <cell r="J1994" t="str">
            <v xml:space="preserve">法兰盖 </v>
          </cell>
        </row>
        <row r="1995">
          <cell r="E1995" t="str">
            <v>JB/T6381.3-2007</v>
          </cell>
          <cell r="F1995" t="str">
            <v>Штуцер 25</v>
          </cell>
          <cell r="G1995">
            <v>19.489999999999998</v>
          </cell>
          <cell r="J1995" t="str">
            <v>管接头25</v>
          </cell>
        </row>
        <row r="1996">
          <cell r="E1996" t="str">
            <v>K1803.07.02.12</v>
          </cell>
          <cell r="F1996" t="str">
            <v>Болт M20</v>
          </cell>
          <cell r="G1996">
            <v>16.98</v>
          </cell>
          <cell r="J1996" t="str">
            <v>螺柱M20</v>
          </cell>
        </row>
        <row r="1997">
          <cell r="E1997" t="str">
            <v>GB3289.10-82</v>
          </cell>
          <cell r="F1997" t="str">
            <v>Тройник 40</v>
          </cell>
          <cell r="G1997">
            <v>47.51</v>
          </cell>
          <cell r="J1997" t="str">
            <v>三通40</v>
          </cell>
        </row>
        <row r="1998">
          <cell r="E1998" t="str">
            <v>JB/ZQ4426-86</v>
          </cell>
          <cell r="F1998" t="str">
            <v>Ниппель25*62</v>
          </cell>
          <cell r="G1998">
            <v>7.19</v>
          </cell>
          <cell r="J1998" t="str">
            <v>内接头25*62</v>
          </cell>
        </row>
        <row r="1999">
          <cell r="E1999" t="str">
            <v>JB/ZQ4421-86</v>
          </cell>
          <cell r="F1999" t="str">
            <v>Тройник25</v>
          </cell>
          <cell r="G1999">
            <v>15.83</v>
          </cell>
          <cell r="J1999" t="str">
            <v>三通25</v>
          </cell>
        </row>
        <row r="2000">
          <cell r="E2000" t="str">
            <v>JB/ZQ4425-86</v>
          </cell>
          <cell r="F2000" t="str">
            <v>Соединитель 25*20</v>
          </cell>
          <cell r="G2000">
            <v>6.09</v>
          </cell>
          <cell r="J2000" t="str">
            <v>内外接头 25*20</v>
          </cell>
        </row>
        <row r="2001">
          <cell r="E2001" t="str">
            <v>K1803.07.02.18</v>
          </cell>
          <cell r="F2001" t="str">
            <v>Датчик температуры</v>
          </cell>
          <cell r="G2001">
            <v>337.82</v>
          </cell>
          <cell r="J2001" t="str">
            <v xml:space="preserve">温度传感器R3/4＂ </v>
          </cell>
        </row>
        <row r="2002">
          <cell r="E2002" t="str">
            <v>K1803.07.02.21</v>
          </cell>
          <cell r="F2002" t="str">
            <v>Упор</v>
          </cell>
          <cell r="G2002">
            <v>2017.66</v>
          </cell>
          <cell r="J2002" t="str">
            <v xml:space="preserve">顶块 </v>
          </cell>
        </row>
        <row r="2003">
          <cell r="E2003" t="str">
            <v>K1803.07.02.22</v>
          </cell>
          <cell r="F2003" t="str">
            <v>Прокладка</v>
          </cell>
          <cell r="G2003">
            <v>1324.09</v>
          </cell>
          <cell r="J2003" t="str">
            <v xml:space="preserve">垫 </v>
          </cell>
        </row>
        <row r="2004">
          <cell r="E2004" t="str">
            <v>135501-00820（1/8-27NPT）</v>
          </cell>
          <cell r="F2004" t="str">
            <v>Индикатор блокировки воздушного фильтра</v>
          </cell>
          <cell r="G2004">
            <v>630.52</v>
          </cell>
          <cell r="J2004" t="str">
            <v>空气过滤阻塞指示仪表</v>
          </cell>
        </row>
        <row r="2005">
          <cell r="E2005" t="str">
            <v>K1601.07.02.27</v>
          </cell>
          <cell r="F2005" t="str">
            <v>Шпонка</v>
          </cell>
          <cell r="G2005">
            <v>67.040000000000006</v>
          </cell>
          <cell r="J2005" t="str">
            <v>键</v>
          </cell>
        </row>
        <row r="2006">
          <cell r="E2006" t="str">
            <v>K1601.07.02.05</v>
          </cell>
          <cell r="F2006" t="str">
            <v>Стакан</v>
          </cell>
          <cell r="G2006">
            <v>2895.4</v>
          </cell>
          <cell r="J2006" t="str">
            <v>套杯</v>
          </cell>
        </row>
        <row r="2007">
          <cell r="E2007" t="str">
            <v>K1605.07.02.01</v>
          </cell>
          <cell r="F2007" t="str">
            <v>Гнездо подшипника</v>
          </cell>
          <cell r="G2007">
            <v>5925.96</v>
          </cell>
          <cell r="J2007" t="str">
            <v>轴承座</v>
          </cell>
        </row>
        <row r="2008">
          <cell r="E2008" t="str">
            <v>K1601.07.02.06</v>
          </cell>
          <cell r="F2008" t="str">
            <v>Стакан</v>
          </cell>
          <cell r="G2008">
            <v>1467.3</v>
          </cell>
          <cell r="J2008" t="str">
            <v>套杯</v>
          </cell>
        </row>
        <row r="2009">
          <cell r="E2009" t="str">
            <v>K1601.07.02.01A</v>
          </cell>
          <cell r="F2009" t="str">
            <v>Вал-шестерня</v>
          </cell>
          <cell r="G2009">
            <v>4016.51</v>
          </cell>
          <cell r="J2009" t="str">
            <v>轴齿轮</v>
          </cell>
        </row>
        <row r="2010">
          <cell r="E2010" t="str">
            <v>K1601.07.02.02B</v>
          </cell>
          <cell r="F2010" t="str">
            <v>Вал-шестерня</v>
          </cell>
          <cell r="G2010">
            <v>7862.19</v>
          </cell>
          <cell r="J2010" t="str">
            <v>轴齿轮</v>
          </cell>
        </row>
        <row r="2011">
          <cell r="E2011" t="str">
            <v>K1605.07.02.06.00A</v>
          </cell>
          <cell r="F2011" t="str">
            <v>Шестерня</v>
          </cell>
          <cell r="G2011">
            <v>53255.75</v>
          </cell>
          <cell r="J2011" t="str">
            <v>齿轮</v>
          </cell>
        </row>
        <row r="2012">
          <cell r="E2012" t="str">
            <v>K1601.07.02.05.00A</v>
          </cell>
          <cell r="F2012" t="str">
            <v>Шестерня</v>
          </cell>
          <cell r="G2012">
            <v>26368.54</v>
          </cell>
          <cell r="J2012" t="str">
            <v>齿轮</v>
          </cell>
        </row>
        <row r="2013">
          <cell r="E2013" t="str">
            <v>K1602.07.02.01.00A</v>
          </cell>
          <cell r="F2013" t="str">
            <v>Картер шестерней</v>
          </cell>
          <cell r="G2013">
            <v>44371.68</v>
          </cell>
          <cell r="J2013" t="str">
            <v>齿轮箱</v>
          </cell>
        </row>
        <row r="2014">
          <cell r="E2014" t="str">
            <v>K1601.07.02.32</v>
          </cell>
          <cell r="F2014" t="str">
            <v>О-образное кольцо</v>
          </cell>
          <cell r="G2014">
            <v>23.03</v>
          </cell>
          <cell r="J2014" t="str">
            <v>O型圈</v>
          </cell>
        </row>
        <row r="2015">
          <cell r="E2015" t="str">
            <v>K1601.07.02.38</v>
          </cell>
          <cell r="F2015" t="str">
            <v>О-образное кольцо</v>
          </cell>
          <cell r="G2015">
            <v>19.940000000000001</v>
          </cell>
          <cell r="J2015" t="str">
            <v>O型圈</v>
          </cell>
        </row>
        <row r="2016">
          <cell r="E2016" t="str">
            <v>253*4</v>
          </cell>
          <cell r="F2016" t="str">
            <v>О-образное кольцо 253*4</v>
          </cell>
          <cell r="G2016">
            <v>26.61</v>
          </cell>
          <cell r="J2016" t="str">
            <v>O型圈253*4</v>
          </cell>
        </row>
        <row r="2017">
          <cell r="E2017" t="str">
            <v>JB/ZQ4214-2006</v>
          </cell>
          <cell r="F2017" t="str">
            <v>Защитная пробка N257</v>
          </cell>
          <cell r="G2017">
            <v>6.45</v>
          </cell>
          <cell r="J2017" t="str">
            <v>防护塞N257</v>
          </cell>
        </row>
        <row r="2018">
          <cell r="E2018" t="str">
            <v>GB3289.31-82</v>
          </cell>
          <cell r="F2018" t="str">
            <v>Трубна пробка 65（R2 1/2）</v>
          </cell>
          <cell r="G2018">
            <v>17.350000000000001</v>
          </cell>
          <cell r="J2018" t="str">
            <v>管堵65（R2 1/2）</v>
          </cell>
        </row>
        <row r="2019">
          <cell r="E2019" t="str">
            <v>GB3289.34-82</v>
          </cell>
          <cell r="F2019" t="str">
            <v>Трубна пробка 15（Rc 1/2）</v>
          </cell>
          <cell r="G2019">
            <v>7.54</v>
          </cell>
          <cell r="J2019" t="str">
            <v>管帽15（Rc 1/2）</v>
          </cell>
        </row>
        <row r="2020">
          <cell r="E2020" t="str">
            <v>JB966-77</v>
          </cell>
          <cell r="F2020" t="str">
            <v>Штуцер 42/M48*2</v>
          </cell>
          <cell r="G2020">
            <v>37.380000000000003</v>
          </cell>
          <cell r="J2020" t="str">
            <v>管接头42/M48*2</v>
          </cell>
        </row>
        <row r="2021">
          <cell r="E2021" t="str">
            <v>JB979-77</v>
          </cell>
          <cell r="F2021" t="str">
            <v>Штуцер 42</v>
          </cell>
          <cell r="G2021">
            <v>13.33</v>
          </cell>
          <cell r="J2021" t="str">
            <v>接管42</v>
          </cell>
        </row>
        <row r="2022">
          <cell r="E2022" t="str">
            <v>K1605.07.02.04</v>
          </cell>
          <cell r="F2022" t="str">
            <v>Стопорное кольцо</v>
          </cell>
          <cell r="G2022">
            <v>39.64</v>
          </cell>
          <cell r="J2022" t="str">
            <v>卡环</v>
          </cell>
        </row>
        <row r="2023">
          <cell r="E2023" t="str">
            <v>JB/ZQ4448-86 R3/8</v>
          </cell>
          <cell r="F2023" t="str">
            <v>Пробка R3/8</v>
          </cell>
          <cell r="G2023">
            <v>3.16</v>
          </cell>
          <cell r="J2023" t="str">
            <v>螺塞 R3/8</v>
          </cell>
        </row>
        <row r="2024">
          <cell r="E2024" t="str">
            <v>JB/ZQ4448-86 R1</v>
          </cell>
          <cell r="F2024" t="str">
            <v>Пробка R1</v>
          </cell>
          <cell r="G2024">
            <v>6.9</v>
          </cell>
          <cell r="J2024" t="str">
            <v>螺塞 R1</v>
          </cell>
        </row>
        <row r="2025">
          <cell r="E2025" t="str">
            <v>JB/ZQ4425-86 25*10</v>
          </cell>
          <cell r="F2025" t="str">
            <v>Соединитель 25*10</v>
          </cell>
          <cell r="G2025">
            <v>8.69</v>
          </cell>
          <cell r="J2025" t="str">
            <v>内外接头25*10</v>
          </cell>
        </row>
        <row r="2026">
          <cell r="E2026" t="str">
            <v>JB/ZQ4522-86</v>
          </cell>
          <cell r="F2026" t="str">
            <v>Сапун C-G 1 1/4A</v>
          </cell>
          <cell r="G2026">
            <v>176.75</v>
          </cell>
          <cell r="J2026" t="str">
            <v>通风罩 C-G 1 1/4A</v>
          </cell>
        </row>
        <row r="2027">
          <cell r="E2027" t="str">
            <v>K1605.07.02.06</v>
          </cell>
          <cell r="F2027" t="str">
            <v>Сальник</v>
          </cell>
          <cell r="G2027">
            <v>1992.84</v>
          </cell>
          <cell r="J2027" t="str">
            <v>油封</v>
          </cell>
        </row>
        <row r="2028">
          <cell r="E2028" t="str">
            <v>K1601.07.02.35</v>
          </cell>
          <cell r="F2028" t="str">
            <v>Подшипник</v>
          </cell>
          <cell r="G2028">
            <v>6971.26</v>
          </cell>
          <cell r="J2028" t="str">
            <v>轴承</v>
          </cell>
        </row>
        <row r="2029">
          <cell r="E2029" t="str">
            <v>K1601.07.02.34</v>
          </cell>
          <cell r="F2029" t="str">
            <v>Подшипник</v>
          </cell>
          <cell r="G2029">
            <v>2226.91</v>
          </cell>
          <cell r="J2029" t="str">
            <v>轴承</v>
          </cell>
        </row>
        <row r="2030">
          <cell r="E2030" t="str">
            <v>K1605.07.02.02</v>
          </cell>
          <cell r="F2030" t="str">
            <v>Подшипник</v>
          </cell>
          <cell r="G2030">
            <v>22472.04</v>
          </cell>
          <cell r="J2030" t="str">
            <v>轴承</v>
          </cell>
        </row>
        <row r="2031">
          <cell r="E2031" t="str">
            <v>K1601.07.02.31</v>
          </cell>
          <cell r="F2031" t="str">
            <v>Подшипник</v>
          </cell>
          <cell r="G2031">
            <v>10944.97</v>
          </cell>
          <cell r="J2031" t="str">
            <v>轴承</v>
          </cell>
        </row>
        <row r="2032">
          <cell r="E2032" t="str">
            <v>K1605.07.01.01</v>
          </cell>
          <cell r="F2032" t="str">
            <v>Вертикальный вал</v>
          </cell>
          <cell r="G2032">
            <v>25301.58</v>
          </cell>
          <cell r="J2032" t="str">
            <v>立轴</v>
          </cell>
        </row>
        <row r="2033">
          <cell r="E2033" t="str">
            <v>K1605.07.01.08</v>
          </cell>
          <cell r="F2033" t="str">
            <v>Уплотняющаяя прокладка </v>
          </cell>
          <cell r="G2033">
            <v>41.06</v>
          </cell>
          <cell r="J2033" t="str">
            <v>密封垫</v>
          </cell>
        </row>
        <row r="2034">
          <cell r="E2034" t="str">
            <v>K1601.07.02.11</v>
          </cell>
          <cell r="F2034" t="str">
            <v>Дистанционное кольцо</v>
          </cell>
          <cell r="G2034">
            <v>139.25</v>
          </cell>
          <cell r="J2034" t="str">
            <v>间隔环</v>
          </cell>
        </row>
        <row r="2035">
          <cell r="E2035" t="str">
            <v>K1605.07.02.00-03</v>
          </cell>
          <cell r="F2035" t="str">
            <v>Уплотнительное кольцо</v>
          </cell>
          <cell r="G2035">
            <v>34.74</v>
          </cell>
          <cell r="J2035" t="str">
            <v>密封圈</v>
          </cell>
        </row>
        <row r="2036">
          <cell r="E2036" t="str">
            <v>K1605.07.02.03</v>
          </cell>
          <cell r="F2036" t="str">
            <v>Кольцо</v>
          </cell>
          <cell r="G2036">
            <v>236.01</v>
          </cell>
          <cell r="J2036" t="str">
            <v>环</v>
          </cell>
        </row>
        <row r="2037">
          <cell r="E2037" t="str">
            <v>K1605.07.02.05</v>
          </cell>
          <cell r="F2037" t="str">
            <v>Дистанционное кольцо</v>
          </cell>
          <cell r="G2037">
            <v>216.77</v>
          </cell>
          <cell r="J2037" t="str">
            <v>间隔环</v>
          </cell>
        </row>
        <row r="2038">
          <cell r="E2038" t="str">
            <v>K1601.07.02.09</v>
          </cell>
          <cell r="F2038" t="str">
            <v>Дистанционное кольцо</v>
          </cell>
          <cell r="G2038">
            <v>159.91999999999999</v>
          </cell>
          <cell r="J2038" t="str">
            <v>间隔环</v>
          </cell>
        </row>
        <row r="2039">
          <cell r="E2039" t="str">
            <v>K1601.17.01.00</v>
          </cell>
          <cell r="F2039" t="str">
            <v>Шестерня венцовая</v>
          </cell>
          <cell r="G2039">
            <v>389555.56</v>
          </cell>
          <cell r="J2039" t="str">
            <v>回转大齿圈</v>
          </cell>
        </row>
        <row r="2040">
          <cell r="E2040" t="str">
            <v>K1612.04.01.01.00</v>
          </cell>
          <cell r="F2040" t="str">
            <v>Комплект механизмаоткрытия ковша</v>
          </cell>
          <cell r="G2040">
            <v>5311.66</v>
          </cell>
          <cell r="J2040" t="str">
            <v>开斗机构组件</v>
          </cell>
        </row>
        <row r="2041">
          <cell r="E2041" t="str">
            <v>K1801.07.01.00-01</v>
          </cell>
          <cell r="F2041" t="str">
            <v>Заглушка</v>
          </cell>
          <cell r="G2041">
            <v>21.82</v>
          </cell>
          <cell r="J2041" t="str">
            <v>密封垫</v>
          </cell>
        </row>
        <row r="2042">
          <cell r="E2042" t="str">
            <v>K1601.30.06.02</v>
          </cell>
          <cell r="F2042" t="str">
            <v>Втулка</v>
          </cell>
          <cell r="G2042">
            <v>587.73</v>
          </cell>
          <cell r="J2042" t="str">
            <v>衬套</v>
          </cell>
        </row>
        <row r="2043">
          <cell r="E2043" t="str">
            <v>K1605.09.01.03</v>
          </cell>
          <cell r="F2043" t="str">
            <v>Втулка центральной цапфы</v>
          </cell>
          <cell r="G2043">
            <v>8703.3700000000008</v>
          </cell>
          <cell r="J2043" t="str">
            <v>枢轴铜套</v>
          </cell>
        </row>
        <row r="2044">
          <cell r="E2044" t="str">
            <v>K1601.30.07.01.00</v>
          </cell>
          <cell r="F2044" t="str">
            <v>Запорное кольцо</v>
          </cell>
          <cell r="G2044">
            <v>389.04</v>
          </cell>
          <cell r="J2044" t="str">
            <v>卡环</v>
          </cell>
        </row>
        <row r="2045">
          <cell r="E2045" t="str">
            <v>K1601.30.07.02.00</v>
          </cell>
          <cell r="F2045" t="str">
            <v>Штифт</v>
          </cell>
          <cell r="G2045">
            <v>4003.84</v>
          </cell>
          <cell r="J2045" t="str">
            <v>销</v>
          </cell>
        </row>
        <row r="2046">
          <cell r="E2046" t="str">
            <v>K1801.18.05.11</v>
          </cell>
          <cell r="F2046" t="str">
            <v>Кольцо</v>
          </cell>
          <cell r="G2046">
            <v>119.15</v>
          </cell>
          <cell r="J2046" t="str">
            <v>垫圈</v>
          </cell>
        </row>
        <row r="2047">
          <cell r="E2047" t="str">
            <v>K1802.01.07.01.00</v>
          </cell>
          <cell r="F2047" t="str">
            <v>Кольцо</v>
          </cell>
          <cell r="G2047">
            <v>298.31</v>
          </cell>
          <cell r="J2047" t="str">
            <v>垫圈</v>
          </cell>
        </row>
        <row r="2048">
          <cell r="E2048" t="str">
            <v>K1803.07.02.15</v>
          </cell>
          <cell r="F2048" t="str">
            <v>Крышка подшипника</v>
          </cell>
          <cell r="G2048">
            <v>447.04</v>
          </cell>
          <cell r="J2048" t="str">
            <v>法兰盖</v>
          </cell>
        </row>
        <row r="2049">
          <cell r="E2049" t="str">
            <v>K1801.18.05.01.00</v>
          </cell>
          <cell r="F2049" t="str">
            <v>Опора оси колеса</v>
          </cell>
          <cell r="G2049">
            <v>3548.76</v>
          </cell>
          <cell r="J2049" t="str">
            <v>外拉紧轴座</v>
          </cell>
        </row>
        <row r="2050">
          <cell r="E2050" t="str">
            <v>K1801.18.05.02.00</v>
          </cell>
          <cell r="F2050" t="str">
            <v>Опора оси колеса</v>
          </cell>
          <cell r="G2050">
            <v>3816.35</v>
          </cell>
          <cell r="J2050" t="str">
            <v>内拉紧轴座</v>
          </cell>
        </row>
        <row r="2051">
          <cell r="E2051" t="str">
            <v>K1801.18.05.06</v>
          </cell>
          <cell r="F2051" t="str">
            <v>Пластина регулировочная</v>
          </cell>
          <cell r="G2051">
            <v>107.67</v>
          </cell>
          <cell r="J2051" t="str">
            <v>调整垫</v>
          </cell>
        </row>
        <row r="2052">
          <cell r="E2052" t="str">
            <v>K1801.18.05.07</v>
          </cell>
          <cell r="F2052" t="str">
            <v>Пластина регулировочная</v>
          </cell>
          <cell r="G2052">
            <v>131.79</v>
          </cell>
          <cell r="J2052" t="str">
            <v>调整垫</v>
          </cell>
        </row>
        <row r="2053">
          <cell r="E2053" t="str">
            <v>K1801.18.05.12</v>
          </cell>
          <cell r="F2053" t="str">
            <v>Пластина регулировочная</v>
          </cell>
          <cell r="G2053">
            <v>71.78</v>
          </cell>
          <cell r="J2053" t="str">
            <v>调整垫</v>
          </cell>
        </row>
        <row r="2054">
          <cell r="E2054" t="str">
            <v>K1802.16.01</v>
          </cell>
          <cell r="F2054" t="str">
            <v>Болт</v>
          </cell>
          <cell r="G2054">
            <v>156.19</v>
          </cell>
          <cell r="J2054" t="str">
            <v>螺栓</v>
          </cell>
        </row>
        <row r="2055">
          <cell r="E2055" t="str">
            <v>K1801.18.01.06</v>
          </cell>
          <cell r="F2055" t="str">
            <v>Шплинт</v>
          </cell>
          <cell r="G2055">
            <v>153.03</v>
          </cell>
          <cell r="J2055" t="str">
            <v>销</v>
          </cell>
        </row>
        <row r="2056">
          <cell r="E2056" t="str">
            <v>GB/T 91 12х25</v>
          </cell>
          <cell r="F2056" t="str">
            <v>Штифт 12х25 GB/T 91</v>
          </cell>
          <cell r="G2056">
            <v>1</v>
          </cell>
          <cell r="J2056" t="str">
            <v>销</v>
          </cell>
        </row>
        <row r="2057">
          <cell r="E2057" t="str">
            <v>GB/T 91 8х63</v>
          </cell>
          <cell r="F2057" t="str">
            <v>Штифт GB/T 91 8х63</v>
          </cell>
          <cell r="G2057">
            <v>1</v>
          </cell>
          <cell r="J2057" t="str">
            <v>销</v>
          </cell>
        </row>
        <row r="2058">
          <cell r="E2058" t="str">
            <v>K1801.18.05.04</v>
          </cell>
          <cell r="F2058" t="str">
            <v>Штифт</v>
          </cell>
          <cell r="G2058">
            <v>288.55</v>
          </cell>
          <cell r="J2058" t="str">
            <v>销</v>
          </cell>
        </row>
        <row r="2059">
          <cell r="E2059" t="str">
            <v>K1801.18.05.08</v>
          </cell>
          <cell r="F2059" t="str">
            <v>Штифт</v>
          </cell>
          <cell r="G2059">
            <v>376.7</v>
          </cell>
          <cell r="J2059" t="str">
            <v>销</v>
          </cell>
        </row>
        <row r="2060">
          <cell r="E2060" t="str">
            <v>K1801.18.05.09</v>
          </cell>
          <cell r="F2060" t="str">
            <v>Штифт</v>
          </cell>
          <cell r="G2060">
            <v>336.79</v>
          </cell>
          <cell r="J2060" t="str">
            <v>销</v>
          </cell>
        </row>
        <row r="2061">
          <cell r="E2061" t="str">
            <v>380-12/380-220 УХЛ2</v>
          </cell>
          <cell r="F2061" t="str">
            <v>Аппарат АРГУС 380-12/380-220 УХЛ2</v>
          </cell>
          <cell r="G2061">
            <v>2496.67</v>
          </cell>
          <cell r="J2061" t="str">
            <v>380V 接地保护 380-12/380-220</v>
          </cell>
        </row>
        <row r="2062">
          <cell r="E2062" t="str">
            <v>690-02/220 УХЛ2</v>
          </cell>
          <cell r="F2062" t="str">
            <v>Аппарат Аргус-690-02/220 УХЛ2</v>
          </cell>
          <cell r="G2062">
            <v>2496.67</v>
          </cell>
          <cell r="J2062" t="str">
            <v>690V 接地保护</v>
          </cell>
        </row>
        <row r="2063">
          <cell r="E2063" t="str">
            <v>82793</v>
          </cell>
          <cell r="F2063" t="str">
            <v xml:space="preserve">Шток пневматического насоса </v>
          </cell>
          <cell r="G2063">
            <v>7925</v>
          </cell>
          <cell r="J2063" t="str">
            <v>气动泵泵杆</v>
          </cell>
        </row>
        <row r="2064">
          <cell r="E2064" t="str">
            <v>82730</v>
          </cell>
          <cell r="F2064" t="str">
            <v xml:space="preserve">Головка пневматического насоса </v>
          </cell>
          <cell r="G2064">
            <v>6417</v>
          </cell>
          <cell r="J2064" t="str">
            <v>气动泵泵头</v>
          </cell>
        </row>
        <row r="2065">
          <cell r="E2065" t="str">
            <v>MB195-21</v>
          </cell>
          <cell r="F2065" t="str">
            <v>Направляющая колонна</v>
          </cell>
          <cell r="G2065">
            <v>3979</v>
          </cell>
          <cell r="J2065" t="str">
            <v>控制开关总成</v>
          </cell>
        </row>
        <row r="2066">
          <cell r="E2066" t="str">
            <v>K1627.22.11</v>
          </cell>
          <cell r="F2066" t="str">
            <v>Фильтрующий стакан</v>
          </cell>
          <cell r="G2066">
            <v>241.56</v>
          </cell>
          <cell r="J2066" t="str">
            <v>滤筒</v>
          </cell>
        </row>
        <row r="2067">
          <cell r="E2067" t="str">
            <v>6ES7870-1AA01-0YA0</v>
          </cell>
          <cell r="F2067" t="str">
            <v>CD-диск с программным обеспечением</v>
          </cell>
          <cell r="G2067">
            <v>992.28</v>
          </cell>
          <cell r="J2067" t="str">
            <v>软件CD卡</v>
          </cell>
        </row>
        <row r="2068">
          <cell r="E2068" t="str">
            <v>5SJ62258CC20+5ST3010</v>
          </cell>
          <cell r="F2068" t="str">
            <v>Автомат защиты с блоком контактов</v>
          </cell>
          <cell r="G2068">
            <v>264.19</v>
          </cell>
          <cell r="J2068" t="str">
            <v>自动断路器</v>
          </cell>
        </row>
        <row r="2069">
          <cell r="E2069" t="str">
            <v>6SY7000-0AD53</v>
          </cell>
          <cell r="F2069" t="str">
            <v>Балансировочный резистор</v>
          </cell>
          <cell r="G2069">
            <v>430.4</v>
          </cell>
          <cell r="J2069" t="str">
            <v>平衡电阻</v>
          </cell>
        </row>
        <row r="2070">
          <cell r="E2070" t="str">
            <v>3RH1921-1KA20</v>
          </cell>
          <cell r="F2070" t="str">
            <v>Блок дополнительных контактов</v>
          </cell>
          <cell r="G2070">
            <v>15.22</v>
          </cell>
          <cell r="J2070" t="str">
            <v>附加触电组件</v>
          </cell>
        </row>
        <row r="2071">
          <cell r="E2071" t="str">
            <v>6SE7090-0XX84-2FA0</v>
          </cell>
          <cell r="F2071" t="str">
            <v>Блок контроля и управления</v>
          </cell>
          <cell r="G2071">
            <v>164.97</v>
          </cell>
          <cell r="J2071" t="str">
            <v>监测控制组件</v>
          </cell>
        </row>
        <row r="2072">
          <cell r="E2072" t="str">
            <v>ZN-6/600A</v>
          </cell>
          <cell r="F2072" t="str">
            <v>Вакуумный контактор ZN-6/600A</v>
          </cell>
          <cell r="G2072">
            <v>1984.55</v>
          </cell>
          <cell r="J2072" t="str">
            <v>真空接触器</v>
          </cell>
        </row>
        <row r="2073">
          <cell r="E2073" t="str">
            <v>3RT1956-1CD00</v>
          </cell>
          <cell r="F2073" t="str">
            <v>Варистор подавления помех</v>
          </cell>
          <cell r="G2073">
            <v>112.46</v>
          </cell>
          <cell r="J2073" t="str">
            <v>电阻</v>
          </cell>
        </row>
        <row r="2074">
          <cell r="E2074" t="str">
            <v>3RH1921-1DA11</v>
          </cell>
          <cell r="F2074" t="str">
            <v>Вспомогательные контакты</v>
          </cell>
          <cell r="G2074">
            <v>30.04</v>
          </cell>
          <cell r="J2074" t="str">
            <v>辅助接头</v>
          </cell>
        </row>
        <row r="2075">
          <cell r="E2075" t="str">
            <v>3RH1921-1EA20</v>
          </cell>
          <cell r="F2075" t="str">
            <v>Вспомогательные контакты</v>
          </cell>
          <cell r="G2075">
            <v>16.53</v>
          </cell>
          <cell r="J2075" t="str">
            <v>辅助接头</v>
          </cell>
        </row>
        <row r="2076">
          <cell r="E2076" t="str">
            <v>MB155-21</v>
          </cell>
          <cell r="F2076" t="str">
            <v>Выключатель</v>
          </cell>
          <cell r="G2076">
            <v>3979</v>
          </cell>
          <cell r="J2076" t="str">
            <v>控制开关总成</v>
          </cell>
        </row>
        <row r="2077">
          <cell r="E2077" t="str">
            <v>MB266-21</v>
          </cell>
          <cell r="F2077" t="str">
            <v>Выключатель</v>
          </cell>
          <cell r="G2077">
            <v>3979</v>
          </cell>
          <cell r="J2077" t="str">
            <v>控制开关总成</v>
          </cell>
        </row>
        <row r="2078">
          <cell r="E2078" t="str">
            <v>6SY7000-0AD10</v>
          </cell>
          <cell r="F2078" t="str">
            <v>Датчик температуры</v>
          </cell>
          <cell r="G2078">
            <v>85.99</v>
          </cell>
          <cell r="J2078" t="str">
            <v>温度传感器</v>
          </cell>
        </row>
        <row r="2079">
          <cell r="E2079" t="str">
            <v>6SY7000-0AG65</v>
          </cell>
          <cell r="F2079" t="str">
            <v>Дроссель фильтра</v>
          </cell>
          <cell r="G2079">
            <v>55541.36</v>
          </cell>
          <cell r="J2079" t="str">
            <v>滤波器扼流线圈</v>
          </cell>
        </row>
        <row r="2080">
          <cell r="E2080" t="str">
            <v>3NY7102</v>
          </cell>
          <cell r="F2080" t="str">
            <v>Зажим 3NY7102</v>
          </cell>
          <cell r="G2080">
            <v>50.61</v>
          </cell>
          <cell r="J2080" t="str">
            <v>夹子</v>
          </cell>
        </row>
        <row r="2081">
          <cell r="E2081" t="str">
            <v>K1601.30.09.01</v>
          </cell>
          <cell r="F2081" t="str">
            <v>Звено цепи</v>
          </cell>
          <cell r="G2081">
            <v>6.29</v>
          </cell>
          <cell r="J2081" t="str">
            <v>链环</v>
          </cell>
        </row>
        <row r="2082">
          <cell r="E2082" t="str">
            <v>6ES7153-1AA03-0XB0</v>
          </cell>
          <cell r="F2082" t="str">
            <v>Интерфейсный модуль</v>
          </cell>
          <cell r="G2082">
            <v>2026.1</v>
          </cell>
          <cell r="J2082" t="str">
            <v>接口模块</v>
          </cell>
        </row>
        <row r="2083">
          <cell r="E2083" t="str">
            <v>6ES7361-3CA01-0AA0</v>
          </cell>
          <cell r="F2083" t="str">
            <v>Интерфейсный модуль</v>
          </cell>
          <cell r="G2083">
            <v>1015.51</v>
          </cell>
          <cell r="J2083" t="str">
            <v>接口模块</v>
          </cell>
        </row>
        <row r="2084">
          <cell r="E2084" t="str">
            <v>6SY7000-0AD56</v>
          </cell>
          <cell r="F2084" t="str">
            <v>Конденсаторная сборка</v>
          </cell>
          <cell r="G2084">
            <v>298.31</v>
          </cell>
          <cell r="J2084" t="str">
            <v>电容组件</v>
          </cell>
        </row>
        <row r="2085">
          <cell r="E2085" t="str">
            <v>6SY7000-0AD84</v>
          </cell>
          <cell r="F2085" t="str">
            <v>Конденсаторная сборка</v>
          </cell>
          <cell r="G2085">
            <v>8467.83</v>
          </cell>
          <cell r="J2085" t="str">
            <v>电容组件</v>
          </cell>
        </row>
        <row r="2086">
          <cell r="E2086" t="str">
            <v>3RT1476-6AP36</v>
          </cell>
          <cell r="F2086" t="str">
            <v>Контактор</v>
          </cell>
          <cell r="G2086">
            <v>2243.7800000000002</v>
          </cell>
          <cell r="J2086" t="str">
            <v>接触器</v>
          </cell>
        </row>
        <row r="2087">
          <cell r="E2087" t="str">
            <v>K1802.23.04.03.00</v>
          </cell>
          <cell r="F2087" t="str">
            <v>Контактор</v>
          </cell>
          <cell r="G2087">
            <v>495.29</v>
          </cell>
          <cell r="J2087" t="str">
            <v>接触器</v>
          </cell>
        </row>
        <row r="2088">
          <cell r="E2088" t="str">
            <v>NI2011U-M30-ADZ30X2</v>
          </cell>
          <cell r="F2088" t="str">
            <v>Концевой выключатель стрелы</v>
          </cell>
          <cell r="G2088">
            <v>641.27</v>
          </cell>
          <cell r="J2088" t="str">
            <v>大臂限位开关</v>
          </cell>
        </row>
        <row r="2089">
          <cell r="E2089" t="str">
            <v>K1609.01.12</v>
          </cell>
          <cell r="F2089" t="str">
            <v>Межзубовая защита</v>
          </cell>
          <cell r="G2089">
            <v>1096.0999999999999</v>
          </cell>
          <cell r="J2089" t="str">
            <v>中部护套</v>
          </cell>
        </row>
        <row r="2090">
          <cell r="E2090" t="str">
            <v>6ES7321-1FH00-0AA0</v>
          </cell>
          <cell r="F2090" t="str">
            <v>Модуль</v>
          </cell>
          <cell r="G2090">
            <v>1458.79</v>
          </cell>
          <cell r="J2090" t="str">
            <v>模块</v>
          </cell>
        </row>
        <row r="2091">
          <cell r="E2091" t="str">
            <v>6ES7322-1HH01-0AA0</v>
          </cell>
          <cell r="F2091" t="str">
            <v>Модуль</v>
          </cell>
          <cell r="G2091">
            <v>1539.84</v>
          </cell>
          <cell r="J2091" t="str">
            <v>模块</v>
          </cell>
        </row>
        <row r="2092">
          <cell r="E2092" t="str">
            <v>6ES7338-4BC01-0AB0</v>
          </cell>
          <cell r="F2092" t="str">
            <v>Модуль</v>
          </cell>
          <cell r="G2092">
            <v>973.62</v>
          </cell>
          <cell r="J2092" t="str">
            <v>模块</v>
          </cell>
        </row>
        <row r="2093">
          <cell r="E2093" t="str">
            <v>6SY7000-0AD04</v>
          </cell>
          <cell r="F2093" t="str">
            <v>Модуль</v>
          </cell>
          <cell r="G2093">
            <v>11576.13</v>
          </cell>
          <cell r="J2093" t="str">
            <v>模块</v>
          </cell>
        </row>
        <row r="2094">
          <cell r="E2094" t="str">
            <v>K1801.03.06.04</v>
          </cell>
          <cell r="F2094" t="str">
            <v>Нажимная пружина</v>
          </cell>
          <cell r="G2094">
            <v>2.75</v>
          </cell>
          <cell r="J2094" t="str">
            <v>压缩弹簧</v>
          </cell>
        </row>
        <row r="2095">
          <cell r="E2095" t="str">
            <v>6SE7038-6GK84-1GF0</v>
          </cell>
          <cell r="F2095" t="str">
            <v>Плата защиты инвентора</v>
          </cell>
          <cell r="G2095">
            <v>919.09</v>
          </cell>
          <cell r="J2095" t="str">
            <v>防护板</v>
          </cell>
        </row>
        <row r="2096">
          <cell r="E2096" t="str">
            <v>6SE7038-6GK84-1GG0</v>
          </cell>
          <cell r="F2096" t="str">
            <v>Плата защиты инвентора</v>
          </cell>
          <cell r="G2096">
            <v>958.79</v>
          </cell>
          <cell r="J2096" t="str">
            <v>防护板</v>
          </cell>
        </row>
        <row r="2097">
          <cell r="E2097" t="str">
            <v>8UC6212-1BB20</v>
          </cell>
          <cell r="F2097" t="str">
            <v>Поворотный механизм двери</v>
          </cell>
          <cell r="G2097">
            <v>393.6</v>
          </cell>
          <cell r="J2097" t="str">
            <v>门</v>
          </cell>
        </row>
        <row r="2098">
          <cell r="E2098" t="str">
            <v>608Z</v>
          </cell>
          <cell r="F2098" t="str">
            <v>Подшипник вентилятора</v>
          </cell>
          <cell r="G2098">
            <v>99.23</v>
          </cell>
          <cell r="J2098" t="str">
            <v>风机轴承</v>
          </cell>
        </row>
        <row r="2099">
          <cell r="E2099" t="str">
            <v>K1802.01.04.00</v>
          </cell>
          <cell r="F2099" t="str">
            <v>Подъемная балка</v>
          </cell>
          <cell r="G2099">
            <v>104206.02</v>
          </cell>
          <cell r="J2099" t="str">
            <v>提梁</v>
          </cell>
        </row>
        <row r="2100">
          <cell r="E2100" t="str">
            <v>K1801.03.06.07</v>
          </cell>
          <cell r="F2100" t="str">
            <v>Пружина</v>
          </cell>
          <cell r="G2100">
            <v>2.75</v>
          </cell>
          <cell r="J2100" t="str">
            <v>弹簧</v>
          </cell>
        </row>
        <row r="2101">
          <cell r="E2101" t="str">
            <v>K1841.01.09</v>
          </cell>
          <cell r="F2101" t="str">
            <v>Регулировочная пластина пяты</v>
          </cell>
          <cell r="G2101">
            <v>1735</v>
          </cell>
          <cell r="J2101" t="str">
            <v>调整板</v>
          </cell>
        </row>
        <row r="2102">
          <cell r="E2102" t="str">
            <v>6SY7000-0AB18</v>
          </cell>
          <cell r="F2102" t="str">
            <v xml:space="preserve">Резистор </v>
          </cell>
          <cell r="G2102">
            <v>115.35</v>
          </cell>
          <cell r="J2102" t="str">
            <v>电阻</v>
          </cell>
        </row>
        <row r="2103">
          <cell r="E2103" t="str">
            <v>6SY7000-0AC33</v>
          </cell>
          <cell r="F2103" t="str">
            <v>Резистор</v>
          </cell>
          <cell r="G2103">
            <v>403.11</v>
          </cell>
          <cell r="J2103" t="str">
            <v>电阻</v>
          </cell>
        </row>
        <row r="2104">
          <cell r="E2104" t="str">
            <v>6SL3040-0MA00-0AA1</v>
          </cell>
          <cell r="F2104" t="str">
            <v>Управляющий модуль</v>
          </cell>
          <cell r="G2104">
            <v>2067.65</v>
          </cell>
          <cell r="J2104" t="str">
            <v>控制模块</v>
          </cell>
        </row>
        <row r="2105">
          <cell r="E2105" t="str">
            <v>K1602.23.04.02.02.00</v>
          </cell>
          <cell r="F2105" t="str">
            <v xml:space="preserve">Щетка коллекторная </v>
          </cell>
          <cell r="G2105">
            <v>102.14</v>
          </cell>
          <cell r="J2105" t="str">
            <v>集电刷</v>
          </cell>
        </row>
        <row r="2106">
          <cell r="E2106" t="str">
            <v>K1839.01.06.00</v>
          </cell>
          <cell r="F2106" t="str">
            <v>Основание тормоза днища ковша</v>
          </cell>
          <cell r="G2106">
            <v>3941.25</v>
          </cell>
          <cell r="J2106" t="str">
            <v>缓冲器底座</v>
          </cell>
        </row>
        <row r="2107">
          <cell r="E2107" t="str">
            <v>K1805.01.09.00</v>
          </cell>
          <cell r="F2107" t="str">
            <v>Тяговая штанга</v>
          </cell>
          <cell r="G2107">
            <v>9887.44</v>
          </cell>
          <cell r="J2107" t="str">
            <v>拉杆</v>
          </cell>
        </row>
        <row r="2108">
          <cell r="E2108" t="str">
            <v>K1801.01.11</v>
          </cell>
          <cell r="F2108" t="str">
            <v>Ось тяговой штанги</v>
          </cell>
          <cell r="G2108">
            <v>2824.94</v>
          </cell>
          <cell r="J2108" t="str">
            <v>拉杆销</v>
          </cell>
        </row>
        <row r="2109">
          <cell r="E2109" t="str">
            <v>K1801.01.15</v>
          </cell>
          <cell r="F2109" t="str">
            <v>Палец</v>
          </cell>
          <cell r="G2109">
            <v>2747.13</v>
          </cell>
          <cell r="J2109" t="str">
            <v>拉杆销</v>
          </cell>
        </row>
        <row r="2110">
          <cell r="E2110" t="str">
            <v>K1802.01.03.03</v>
          </cell>
          <cell r="F2110" t="str">
            <v>Буферный блок</v>
          </cell>
          <cell r="G2110">
            <v>703.72</v>
          </cell>
          <cell r="J2110" t="str">
            <v>缓冲块</v>
          </cell>
        </row>
        <row r="2111">
          <cell r="E2111" t="str">
            <v>K1601.30.03.29</v>
          </cell>
          <cell r="F2111" t="str">
            <v>Основание засова днища</v>
          </cell>
          <cell r="G2111">
            <v>1372.42</v>
          </cell>
          <cell r="J2111" t="str">
            <v>斗拴杠杆支座</v>
          </cell>
        </row>
        <row r="2112">
          <cell r="E2112" t="str">
            <v>K1801.01.05.02</v>
          </cell>
          <cell r="F2112" t="str">
            <v>Втулка</v>
          </cell>
          <cell r="G2112">
            <v>984.81</v>
          </cell>
          <cell r="J2112" t="str">
            <v>衬套</v>
          </cell>
        </row>
        <row r="2113">
          <cell r="E2113" t="str">
            <v>K1805.01.09.01</v>
          </cell>
          <cell r="F2113" t="str">
            <v>Тяговая штанга</v>
          </cell>
          <cell r="G2113">
            <v>8281.02</v>
          </cell>
          <cell r="J2113" t="str">
            <v>拉杆</v>
          </cell>
        </row>
        <row r="2114">
          <cell r="E2114" t="str">
            <v>K1837.03.06.00</v>
          </cell>
          <cell r="F2114" t="str">
            <v>Концевик стрелы (указан под номером K1812.03.06.00)</v>
          </cell>
          <cell r="G2114">
            <v>4346.66</v>
          </cell>
          <cell r="J2114" t="str">
            <v>大臂限位</v>
          </cell>
        </row>
        <row r="2115">
          <cell r="E2115" t="str">
            <v>K1801.03.13.00</v>
          </cell>
          <cell r="F2115" t="str">
            <v>Кожух тормоза напора</v>
          </cell>
          <cell r="G2115">
            <v>473.74</v>
          </cell>
          <cell r="J2115" t="str">
            <v>盘式制动器罩</v>
          </cell>
        </row>
        <row r="2116">
          <cell r="E2116" t="str">
            <v>K1839.03.02.09</v>
          </cell>
          <cell r="F2116" t="str">
            <v>Регулировочная гайка</v>
          </cell>
          <cell r="G2116">
            <v>585.72</v>
          </cell>
          <cell r="J2116" t="str">
            <v>调整螺母</v>
          </cell>
        </row>
        <row r="2117">
          <cell r="E2117" t="str">
            <v>K1818.03.07.01.00</v>
          </cell>
          <cell r="F2117" t="str">
            <v>Кожух кодировщика</v>
          </cell>
          <cell r="G2117">
            <v>120.01</v>
          </cell>
          <cell r="J2117" t="str">
            <v>编码器罩</v>
          </cell>
        </row>
        <row r="2118">
          <cell r="E2118" t="str">
            <v>K1818.03.07.02.00</v>
          </cell>
          <cell r="F2118" t="str">
            <v>Опора кодировщика</v>
          </cell>
          <cell r="G2118">
            <v>168.82</v>
          </cell>
          <cell r="J2118" t="str">
            <v>编码器支座</v>
          </cell>
        </row>
        <row r="2119">
          <cell r="E2119" t="str">
            <v>K1701.03.11.18</v>
          </cell>
          <cell r="F2119" t="str">
            <v>Шлицевая втулка</v>
          </cell>
          <cell r="G2119">
            <v>1866.26</v>
          </cell>
          <cell r="J2119" t="str">
            <v>花键套</v>
          </cell>
        </row>
        <row r="2120">
          <cell r="E2120" t="str">
            <v>K1701.03.11.22</v>
          </cell>
          <cell r="F2120" t="str">
            <v>Распорная втулка</v>
          </cell>
          <cell r="G2120">
            <v>184.33</v>
          </cell>
          <cell r="J2120" t="str">
            <v>隔套</v>
          </cell>
        </row>
        <row r="2121">
          <cell r="E2121" t="str">
            <v>K1801.03.15.01.600</v>
          </cell>
          <cell r="F2121" t="str">
            <v>Подшипник</v>
          </cell>
          <cell r="G2121">
            <v>18367.43</v>
          </cell>
          <cell r="J2121" t="str">
            <v>轴承</v>
          </cell>
        </row>
        <row r="2122">
          <cell r="E2122" t="str">
            <v>K1801.03.15.01.700</v>
          </cell>
          <cell r="F2122" t="str">
            <v>Подшипник</v>
          </cell>
          <cell r="G2122">
            <v>18367.43</v>
          </cell>
          <cell r="J2122" t="str">
            <v>轴承</v>
          </cell>
        </row>
        <row r="2123">
          <cell r="E2123" t="str">
            <v>GB/T14383</v>
          </cell>
          <cell r="F2123" t="str">
            <v>Соединительная муфта</v>
          </cell>
          <cell r="G2123">
            <v>33.020000000000003</v>
          </cell>
          <cell r="J2123" t="str">
            <v>双螺口管箍</v>
          </cell>
        </row>
        <row r="2124">
          <cell r="E2124" t="str">
            <v>K1701.03.17.00-01</v>
          </cell>
          <cell r="F2124" t="str">
            <v>6MJ-6MP90 7253-08105</v>
          </cell>
          <cell r="G2124">
            <v>113.99</v>
          </cell>
          <cell r="J2124" t="str">
            <v>6MJ-6MP90 7253-08105</v>
          </cell>
        </row>
        <row r="2125">
          <cell r="E2125" t="str">
            <v>K1701.03.17.00-02</v>
          </cell>
          <cell r="F2125" t="str">
            <v>РВД</v>
          </cell>
          <cell r="G2125">
            <v>217.06</v>
          </cell>
          <cell r="J2125" t="str">
            <v>高压胶管总成</v>
          </cell>
        </row>
        <row r="2126">
          <cell r="E2126" t="str">
            <v>K1701.03.20.01</v>
          </cell>
          <cell r="F2126" t="str">
            <v>Торцевая заслонка вала</v>
          </cell>
          <cell r="G2126">
            <v>137.24</v>
          </cell>
          <cell r="J2126" t="str">
            <v>轴端挡板</v>
          </cell>
        </row>
        <row r="2127">
          <cell r="E2127" t="str">
            <v>K1701.03.20.02</v>
          </cell>
          <cell r="F2127" t="str">
            <v>Торцевая крышка</v>
          </cell>
          <cell r="G2127">
            <v>512.79</v>
          </cell>
          <cell r="J2127" t="str">
            <v>端盖</v>
          </cell>
        </row>
        <row r="2128">
          <cell r="E2128" t="str">
            <v>K1701.03.20.06A</v>
          </cell>
          <cell r="F2128" t="str">
            <v>Шестерня</v>
          </cell>
          <cell r="G2128">
            <v>62001.120000000003</v>
          </cell>
          <cell r="J2128" t="str">
            <v>齿轮</v>
          </cell>
        </row>
        <row r="2129">
          <cell r="E2129" t="str">
            <v>K1701.03.20.07</v>
          </cell>
          <cell r="F2129" t="str">
            <v>Распорная втулка</v>
          </cell>
          <cell r="G2129">
            <v>165.38</v>
          </cell>
          <cell r="J2129" t="str">
            <v>隔套</v>
          </cell>
        </row>
        <row r="2130">
          <cell r="E2130" t="str">
            <v>K1701.03.20.01.00A</v>
          </cell>
          <cell r="F2130" t="str">
            <v>Соединительный диск</v>
          </cell>
          <cell r="G2130">
            <v>261.85000000000002</v>
          </cell>
          <cell r="J2130" t="str">
            <v>连接盘</v>
          </cell>
        </row>
        <row r="2131">
          <cell r="E2131" t="str">
            <v>K1812.03.21.03.00</v>
          </cell>
          <cell r="F2131" t="str">
            <v>Кожух кремальерной шестерни</v>
          </cell>
          <cell r="G2131">
            <v>1052</v>
          </cell>
          <cell r="J2131" t="str">
            <v>推压小齿轮罩</v>
          </cell>
        </row>
        <row r="2132">
          <cell r="E2132" t="str">
            <v>K1612.04.01.01.100</v>
          </cell>
          <cell r="F2132" t="str">
            <v>Опора</v>
          </cell>
          <cell r="G2132">
            <v>552.13</v>
          </cell>
          <cell r="J2132" t="str">
            <v>支架</v>
          </cell>
        </row>
        <row r="2133">
          <cell r="E2133" t="str">
            <v>K1601.04.01.01.01</v>
          </cell>
          <cell r="F2133" t="str">
            <v>Вал барабана</v>
          </cell>
          <cell r="G2133">
            <v>667.55</v>
          </cell>
          <cell r="J2133" t="str">
            <v>卷筒轴</v>
          </cell>
        </row>
        <row r="2134">
          <cell r="E2134" t="str">
            <v>K1601.04.01.01.200</v>
          </cell>
          <cell r="F2134" t="str">
            <v>Барабан механизма ОДК</v>
          </cell>
          <cell r="G2134">
            <v>665.25</v>
          </cell>
          <cell r="J2134" t="str">
            <v>开斗机构卷筒</v>
          </cell>
        </row>
        <row r="2135">
          <cell r="E2135" t="str">
            <v>K1601.04.01.02.00</v>
          </cell>
          <cell r="F2135" t="str">
            <v>Защитный кожух тросика ОДК</v>
          </cell>
          <cell r="G2135">
            <v>215.34</v>
          </cell>
          <cell r="J2135" t="str">
            <v>钢绳护罩</v>
          </cell>
        </row>
        <row r="2136">
          <cell r="E2136" t="str">
            <v>K1801.04.02.02.00</v>
          </cell>
          <cell r="F2136" t="str">
            <v>Установки рычага открывания днища ковша (корпус)</v>
          </cell>
          <cell r="G2136">
            <v>2762.06</v>
          </cell>
          <cell r="J2136" t="str">
            <v>开斗托架</v>
          </cell>
        </row>
        <row r="2137">
          <cell r="E2137" t="str">
            <v>K1801.04.02.02</v>
          </cell>
          <cell r="F2137" t="str">
            <v>Втулка</v>
          </cell>
          <cell r="G2137">
            <v>135.52000000000001</v>
          </cell>
          <cell r="J2137" t="str">
            <v>套筒</v>
          </cell>
        </row>
        <row r="2138">
          <cell r="E2138" t="str">
            <v>K1801.04.02.01</v>
          </cell>
          <cell r="F2138" t="str">
            <v>Вал рычага ОДК</v>
          </cell>
          <cell r="G2138">
            <v>1133.82</v>
          </cell>
          <cell r="J2138" t="str">
            <v>开斗杠杆轴</v>
          </cell>
        </row>
        <row r="2139">
          <cell r="E2139" t="str">
            <v>K1801.05.11.00</v>
          </cell>
          <cell r="F2139" t="str">
            <v>Кожух муфты подъема</v>
          </cell>
          <cell r="G2139">
            <v>461.97</v>
          </cell>
          <cell r="J2139" t="str">
            <v>提升联轴器罩</v>
          </cell>
        </row>
        <row r="2140">
          <cell r="E2140" t="str">
            <v>K1801.05.02.01</v>
          </cell>
          <cell r="F2140" t="str">
            <v>Масляный уплотнитель</v>
          </cell>
          <cell r="G2140">
            <v>197.25</v>
          </cell>
          <cell r="J2140" t="str">
            <v>油封</v>
          </cell>
        </row>
        <row r="2141">
          <cell r="E2141" t="str">
            <v>K1801.05.02.02</v>
          </cell>
          <cell r="F2141" t="str">
            <v>Крышка</v>
          </cell>
          <cell r="G2141">
            <v>879.15</v>
          </cell>
          <cell r="J2141" t="str">
            <v>盖</v>
          </cell>
        </row>
        <row r="2142">
          <cell r="E2142" t="str">
            <v>K1801.05.02.03A</v>
          </cell>
          <cell r="F2142" t="str">
            <v>Втулка</v>
          </cell>
          <cell r="G2142">
            <v>94.17</v>
          </cell>
          <cell r="J2142" t="str">
            <v>套</v>
          </cell>
        </row>
        <row r="2143">
          <cell r="E2143" t="str">
            <v>K1701.05.02.06</v>
          </cell>
          <cell r="F2143" t="str">
            <v>Гнездо подшипника</v>
          </cell>
          <cell r="G2143">
            <v>1156.51</v>
          </cell>
          <cell r="J2143" t="str">
            <v>轴承座</v>
          </cell>
        </row>
        <row r="2144">
          <cell r="E2144" t="str">
            <v>K1801.05.02.04</v>
          </cell>
          <cell r="F2144" t="str">
            <v>Шестеренчатый вал</v>
          </cell>
          <cell r="G2144">
            <v>5232.13</v>
          </cell>
          <cell r="J2144" t="str">
            <v>齿轮轴</v>
          </cell>
        </row>
        <row r="2145">
          <cell r="E2145" t="str">
            <v>K1701.05.02.09</v>
          </cell>
          <cell r="F2145" t="str">
            <v>Стакан подшипника</v>
          </cell>
          <cell r="G2145">
            <v>1590.63</v>
          </cell>
          <cell r="J2145" t="str">
            <v>轴承杯</v>
          </cell>
        </row>
        <row r="2146">
          <cell r="E2146" t="str">
            <v>K1701.05.02.14</v>
          </cell>
          <cell r="F2146" t="str">
            <v>Распорная втулка</v>
          </cell>
          <cell r="G2146">
            <v>23.54</v>
          </cell>
          <cell r="J2146" t="str">
            <v>隔套</v>
          </cell>
        </row>
        <row r="2147">
          <cell r="E2147" t="str">
            <v>K1701.05.03.01</v>
          </cell>
          <cell r="F2147" t="str">
            <v>Крышка</v>
          </cell>
          <cell r="G2147">
            <v>962.7</v>
          </cell>
          <cell r="J2147" t="str">
            <v>闷盖</v>
          </cell>
        </row>
        <row r="2148">
          <cell r="E2148" t="str">
            <v>K1801.05.03.01</v>
          </cell>
          <cell r="F2148" t="str">
            <v>Торцевая крышка</v>
          </cell>
          <cell r="G2148">
            <v>366.36</v>
          </cell>
          <cell r="J2148" t="str">
            <v>轴端挡板</v>
          </cell>
        </row>
        <row r="2149">
          <cell r="E2149" t="str">
            <v>K1701.05.03.04</v>
          </cell>
          <cell r="F2149" t="str">
            <v>Распорная втулка</v>
          </cell>
          <cell r="G2149">
            <v>428.95</v>
          </cell>
          <cell r="J2149" t="str">
            <v>隔套</v>
          </cell>
        </row>
        <row r="2150">
          <cell r="E2150" t="str">
            <v>K1801.05.03.02A</v>
          </cell>
          <cell r="F2150" t="str">
            <v>Шестерня</v>
          </cell>
          <cell r="G2150">
            <v>93498.68</v>
          </cell>
          <cell r="J2150" t="str">
            <v>齿轮</v>
          </cell>
        </row>
        <row r="2151">
          <cell r="E2151" t="str">
            <v>K1701.05.03.06A</v>
          </cell>
          <cell r="F2151" t="str">
            <v>Вал-шестерня</v>
          </cell>
          <cell r="G2151">
            <v>22864.54</v>
          </cell>
          <cell r="J2151" t="str">
            <v>齿轮轴</v>
          </cell>
        </row>
        <row r="2152">
          <cell r="E2152" t="str">
            <v>K1701.05.03.09</v>
          </cell>
          <cell r="F2152" t="str">
            <v>Крышка</v>
          </cell>
          <cell r="G2152">
            <v>952.37</v>
          </cell>
          <cell r="J2152" t="str">
            <v>闷盖</v>
          </cell>
        </row>
        <row r="2153">
          <cell r="E2153" t="str">
            <v>K1801.05.04.03.00</v>
          </cell>
          <cell r="F2153" t="str">
            <v>Гнездо кожуха сапуна</v>
          </cell>
          <cell r="G2153">
            <v>360.91</v>
          </cell>
          <cell r="J2153" t="str">
            <v>通风罩座</v>
          </cell>
        </row>
        <row r="2154">
          <cell r="E2154" t="str">
            <v>K1801.05.04.03</v>
          </cell>
          <cell r="F2154" t="str">
            <v>Шпилька</v>
          </cell>
          <cell r="G2154">
            <v>217.06</v>
          </cell>
          <cell r="J2154" t="str">
            <v>双头螺栓</v>
          </cell>
        </row>
        <row r="2155">
          <cell r="E2155" t="str">
            <v>K1801.05.04.05</v>
          </cell>
          <cell r="F2155" t="str">
            <v>Стальная пруба</v>
          </cell>
          <cell r="G2155">
            <v>147</v>
          </cell>
          <cell r="J2155" t="str">
            <v>钢管</v>
          </cell>
        </row>
        <row r="2156">
          <cell r="E2156" t="str">
            <v>K1801.05.05.02.00</v>
          </cell>
          <cell r="F2156" t="str">
            <v>Торцевая крышка</v>
          </cell>
          <cell r="G2156">
            <v>1838.98</v>
          </cell>
          <cell r="J2156" t="str">
            <v>端盖</v>
          </cell>
        </row>
        <row r="2157">
          <cell r="E2157" t="str">
            <v>K1830.05.05.07</v>
          </cell>
          <cell r="F2157" t="str">
            <v>Заслонка торца оси</v>
          </cell>
          <cell r="G2157">
            <v>275.63</v>
          </cell>
          <cell r="J2157" t="str">
            <v>轴端挡板</v>
          </cell>
        </row>
        <row r="2158">
          <cell r="E2158" t="str">
            <v>CY-M60-2/W</v>
          </cell>
          <cell r="F2158" t="str">
            <v>Супернат</v>
          </cell>
          <cell r="G2158">
            <v>1889.8</v>
          </cell>
          <cell r="J2158" t="str">
            <v>超级螺母</v>
          </cell>
        </row>
        <row r="2159">
          <cell r="E2159" t="str">
            <v>K1837.05.00-01</v>
          </cell>
          <cell r="F2159" t="str">
            <v>Прокладка</v>
          </cell>
          <cell r="G2159">
            <v>1618.48</v>
          </cell>
          <cell r="J2159" t="str">
            <v xml:space="preserve">密封垫 </v>
          </cell>
        </row>
        <row r="2160">
          <cell r="E2160" t="str">
            <v>GB/T5786</v>
          </cell>
          <cell r="F2160" t="str">
            <v>Болт М30X2X180</v>
          </cell>
          <cell r="G2160">
            <v>15.79</v>
          </cell>
          <cell r="J2160" t="str">
            <v>螺栓 М30X2X180</v>
          </cell>
        </row>
        <row r="2161">
          <cell r="E2161" t="str">
            <v>K1803.07.02.13</v>
          </cell>
          <cell r="F2161" t="str">
            <v>Фланец</v>
          </cell>
          <cell r="G2161">
            <v>923.65</v>
          </cell>
          <cell r="J2161" t="str">
            <v>法兰盖</v>
          </cell>
        </row>
        <row r="2162">
          <cell r="E2162" t="str">
            <v>GB/T32.1-1998</v>
          </cell>
          <cell r="F2162" t="str">
            <v>Болт M16*50</v>
          </cell>
          <cell r="G2162">
            <v>1.1499999999999999</v>
          </cell>
          <cell r="J2162" t="str">
            <v>螺栓 M16*50</v>
          </cell>
        </row>
        <row r="2163">
          <cell r="E2163" t="str">
            <v>K1803.07.02.07</v>
          </cell>
          <cell r="F2163" t="str">
            <v>Дистанционное кольцо</v>
          </cell>
          <cell r="G2163">
            <v>347.7</v>
          </cell>
          <cell r="J2163" t="str">
            <v>定距环</v>
          </cell>
        </row>
        <row r="2164">
          <cell r="E2164" t="str">
            <v>K1803.07.02.03</v>
          </cell>
          <cell r="F2164" t="str">
            <v>Торцевая крышка</v>
          </cell>
          <cell r="G2164">
            <v>673</v>
          </cell>
          <cell r="J2164" t="str">
            <v>端盖</v>
          </cell>
        </row>
        <row r="2165">
          <cell r="E2165" t="str">
            <v>K1803.07.02.04</v>
          </cell>
          <cell r="F2165" t="str">
            <v>Прокладка</v>
          </cell>
          <cell r="G2165">
            <v>101.93</v>
          </cell>
          <cell r="J2165" t="str">
            <v>垫</v>
          </cell>
        </row>
        <row r="2166">
          <cell r="E2166" t="str">
            <v>K1803.07.02.09</v>
          </cell>
          <cell r="F2166" t="str">
            <v>Соединитель</v>
          </cell>
          <cell r="G2166">
            <v>344.54</v>
          </cell>
          <cell r="J2166" t="str">
            <v>接头</v>
          </cell>
        </row>
        <row r="2167">
          <cell r="E2167" t="str">
            <v>K1803.07.02.11</v>
          </cell>
          <cell r="F2167" t="str">
            <v>Опора</v>
          </cell>
          <cell r="G2167">
            <v>1292.03</v>
          </cell>
          <cell r="J2167" t="str">
            <v>支架</v>
          </cell>
        </row>
        <row r="2168">
          <cell r="E2168" t="str">
            <v>GB/T5785</v>
          </cell>
          <cell r="F2168" t="str">
            <v>Болт М30X2X120</v>
          </cell>
          <cell r="G2168">
            <v>6.03</v>
          </cell>
          <cell r="J2168" t="str">
            <v>螺栓 М30X2X120</v>
          </cell>
        </row>
        <row r="2169">
          <cell r="E2169" t="str">
            <v>K1839.09.02.14.00</v>
          </cell>
          <cell r="F2169" t="str">
            <v>Кран-балка консольная</v>
          </cell>
          <cell r="G2169">
            <v>57423.33</v>
          </cell>
          <cell r="J2169" t="str">
            <v>悬臂起重机</v>
          </cell>
        </row>
        <row r="2170">
          <cell r="E2170" t="str">
            <v>K1803.09.11.00</v>
          </cell>
          <cell r="F2170" t="str">
            <v>Кожух венцевой шестерни</v>
          </cell>
          <cell r="G2170">
            <v>4480.74</v>
          </cell>
          <cell r="J2170" t="str">
            <v>回转大齿圈罩</v>
          </cell>
        </row>
        <row r="2171">
          <cell r="E2171" t="str">
            <v>K1833.10.05.00</v>
          </cell>
          <cell r="F2171" t="str">
            <v>Под номером K1801.10.05.00</v>
          </cell>
          <cell r="G2171">
            <v>1785.87</v>
          </cell>
          <cell r="J2171" t="str">
            <v>销轴</v>
          </cell>
        </row>
        <row r="2172">
          <cell r="E2172" t="str">
            <v>K1801.10.01.17</v>
          </cell>
          <cell r="F2172" t="str">
            <v>Втулка</v>
          </cell>
          <cell r="G2172">
            <v>703.72</v>
          </cell>
          <cell r="J2172" t="str">
            <v>衬套</v>
          </cell>
        </row>
        <row r="2173">
          <cell r="E2173" t="str">
            <v>K1801.10.03.03</v>
          </cell>
          <cell r="F2173" t="str">
            <v>Втулка</v>
          </cell>
          <cell r="G2173">
            <v>873.12</v>
          </cell>
          <cell r="J2173" t="str">
            <v>衬套</v>
          </cell>
        </row>
        <row r="2174">
          <cell r="E2174" t="str">
            <v>K1801.10.03.04</v>
          </cell>
          <cell r="F2174" t="str">
            <v>Втулка</v>
          </cell>
          <cell r="G2174">
            <v>680.47</v>
          </cell>
          <cell r="J2174" t="str">
            <v>衬套</v>
          </cell>
        </row>
        <row r="2175">
          <cell r="E2175" t="str">
            <v>K1801.10.04.02</v>
          </cell>
          <cell r="F2175" t="str">
            <v>Втулка</v>
          </cell>
          <cell r="G2175">
            <v>521.12</v>
          </cell>
          <cell r="J2175" t="str">
            <v>衬套</v>
          </cell>
        </row>
        <row r="2176">
          <cell r="E2176" t="str">
            <v>K1833.10.05.01</v>
          </cell>
          <cell r="F2176" t="str">
            <v>Штифт</v>
          </cell>
          <cell r="G2176">
            <v>1298.05</v>
          </cell>
          <cell r="J2176" t="str">
            <v>销</v>
          </cell>
        </row>
        <row r="2177">
          <cell r="E2177" t="str">
            <v>K1822.12.03</v>
          </cell>
          <cell r="F2177" t="str">
            <v>Хомут</v>
          </cell>
          <cell r="G2177">
            <v>20.100000000000001</v>
          </cell>
          <cell r="J2177" t="str">
            <v>卡箍</v>
          </cell>
        </row>
        <row r="2178">
          <cell r="E2178" t="str">
            <v>K1801.12.07</v>
          </cell>
          <cell r="F2178" t="str">
            <v>Нажимная панель</v>
          </cell>
          <cell r="G2178">
            <v>144.99</v>
          </cell>
          <cell r="J2178" t="str">
            <v>压板</v>
          </cell>
        </row>
        <row r="2179">
          <cell r="E2179" t="str">
            <v>K1812.12.04.00</v>
          </cell>
          <cell r="F2179" t="str">
            <v>Кожух</v>
          </cell>
          <cell r="G2179">
            <v>2554.19</v>
          </cell>
          <cell r="J2179" t="str">
            <v>罩</v>
          </cell>
        </row>
        <row r="2180">
          <cell r="E2180" t="str">
            <v>K1812.12.05.00</v>
          </cell>
          <cell r="F2180" t="str">
            <v>Кожух</v>
          </cell>
          <cell r="G2180">
            <v>1721.84</v>
          </cell>
          <cell r="J2180" t="str">
            <v>罩</v>
          </cell>
        </row>
        <row r="2181">
          <cell r="E2181" t="str">
            <v>K1801.15.02.00</v>
          </cell>
          <cell r="F2181" t="str">
            <v>Постамент электродвигателя хода</v>
          </cell>
          <cell r="G2181">
            <v>37395.22</v>
          </cell>
          <cell r="J2181" t="str">
            <v>行走电机底座</v>
          </cell>
        </row>
        <row r="2182">
          <cell r="E2182" t="str">
            <v>K1812.15.18</v>
          </cell>
          <cell r="F2182" t="str">
            <v>Болт М42х3х300</v>
          </cell>
          <cell r="G2182">
            <v>217.63</v>
          </cell>
          <cell r="J2182" t="str">
            <v>螺栓 М42х3х300</v>
          </cell>
        </row>
        <row r="2183">
          <cell r="E2183" t="str">
            <v>K1812.15.02</v>
          </cell>
          <cell r="F2183" t="str">
            <v>Прокладочное кольцо</v>
          </cell>
          <cell r="G2183">
            <v>59.43</v>
          </cell>
          <cell r="J2183" t="str">
            <v>垫圈</v>
          </cell>
        </row>
        <row r="2184">
          <cell r="E2184" t="str">
            <v>K1801.15.04.00</v>
          </cell>
          <cell r="F2184" t="str">
            <v>Кожух коллекторного кольцавысокого напряжения</v>
          </cell>
          <cell r="G2184">
            <v>1792.76</v>
          </cell>
          <cell r="J2184" t="str">
            <v>保护罩</v>
          </cell>
        </row>
        <row r="2185">
          <cell r="E2185" t="str">
            <v>K1801.15.06</v>
          </cell>
          <cell r="F2185" t="str">
            <v>Прокладка венца</v>
          </cell>
          <cell r="G2185">
            <v>122.02</v>
          </cell>
          <cell r="J2185" t="str">
            <v>齿圈垫片</v>
          </cell>
        </row>
        <row r="2186">
          <cell r="E2186" t="str">
            <v>K1812.15.00-01</v>
          </cell>
          <cell r="F2186" t="str">
            <v>Стальная пластина 5XD660</v>
          </cell>
          <cell r="G2186">
            <v>84.13</v>
          </cell>
          <cell r="J2186" t="str">
            <v>钢板 5XD660</v>
          </cell>
        </row>
        <row r="2187">
          <cell r="E2187" t="str">
            <v>K1801.15.08</v>
          </cell>
          <cell r="F2187" t="str">
            <v>Маслоотражательное кольцо</v>
          </cell>
          <cell r="G2187">
            <v>112.55</v>
          </cell>
          <cell r="J2187" t="str">
            <v>挡油圈</v>
          </cell>
        </row>
        <row r="2188">
          <cell r="E2188" t="str">
            <v>K1801.15.09</v>
          </cell>
          <cell r="F2188" t="str">
            <v>Труба D73x5-2189</v>
          </cell>
          <cell r="G2188">
            <v>463.69</v>
          </cell>
          <cell r="J2188" t="str">
            <v>管 D73x5-2189</v>
          </cell>
        </row>
        <row r="2189">
          <cell r="E2189" t="str">
            <v>K1801.15.11</v>
          </cell>
          <cell r="F2189" t="str">
            <v>Стальная пластина 6X100X150</v>
          </cell>
          <cell r="G2189">
            <v>11.2</v>
          </cell>
          <cell r="J2189" t="str">
            <v>钢板 6X100X150</v>
          </cell>
        </row>
        <row r="2190">
          <cell r="E2190" t="str">
            <v>K1801.15.12</v>
          </cell>
          <cell r="F2190" t="str">
            <v>Труба D73x5-1917</v>
          </cell>
          <cell r="G2190">
            <v>424.07</v>
          </cell>
          <cell r="J2190" t="str">
            <v>管 D73x5-1917</v>
          </cell>
        </row>
        <row r="2191">
          <cell r="E2191" t="str">
            <v>K1801.15.13</v>
          </cell>
          <cell r="F2191" t="str">
            <v>Труба D73x5-1932</v>
          </cell>
          <cell r="G2191">
            <v>425.51</v>
          </cell>
          <cell r="J2191" t="str">
            <v>管 D73x5-1932</v>
          </cell>
        </row>
        <row r="2192">
          <cell r="E2192" t="str">
            <v>GB/T6171</v>
          </cell>
          <cell r="F2192" t="str">
            <v>Гайка М56X4</v>
          </cell>
          <cell r="G2192">
            <v>15.5</v>
          </cell>
          <cell r="J2192" t="str">
            <v>螺母 М56X4</v>
          </cell>
        </row>
        <row r="2193">
          <cell r="E2193" t="str">
            <v>K1812.15.19</v>
          </cell>
          <cell r="F2193" t="str">
            <v>Болт</v>
          </cell>
          <cell r="G2193">
            <v>577.67999999999995</v>
          </cell>
          <cell r="J2193" t="str">
            <v>螺栓</v>
          </cell>
        </row>
        <row r="2194">
          <cell r="E2194" t="str">
            <v>K1802.16.04.00</v>
          </cell>
          <cell r="F2194" t="str">
            <v>Кожух муфты для соединения валов</v>
          </cell>
          <cell r="G2194">
            <v>1077.8399999999999</v>
          </cell>
          <cell r="J2194" t="str">
            <v>联轴器罩</v>
          </cell>
        </row>
        <row r="2195">
          <cell r="E2195" t="str">
            <v>k1803.16.01.02</v>
          </cell>
          <cell r="F2195" t="str">
            <v>Фланец</v>
          </cell>
          <cell r="G2195">
            <v>892.36</v>
          </cell>
          <cell r="J2195" t="str">
            <v>法兰盖</v>
          </cell>
        </row>
        <row r="2196">
          <cell r="E2196" t="str">
            <v>k1803.16.01.05</v>
          </cell>
          <cell r="F2196" t="str">
            <v>Фланец</v>
          </cell>
          <cell r="G2196">
            <v>892.36</v>
          </cell>
          <cell r="J2196" t="str">
            <v>法兰盖</v>
          </cell>
        </row>
        <row r="2197">
          <cell r="E2197" t="str">
            <v>GB/T120.2-2000</v>
          </cell>
          <cell r="F2197" t="str">
            <v>Штифт 20х100-А</v>
          </cell>
          <cell r="G2197">
            <v>3.16</v>
          </cell>
          <cell r="J2197" t="str">
            <v>螺钉 20х100-А</v>
          </cell>
        </row>
        <row r="2198">
          <cell r="E2198" t="str">
            <v>GB/T5783-2000</v>
          </cell>
          <cell r="F2198" t="str">
            <v>Болт М20х70</v>
          </cell>
          <cell r="G2198">
            <v>1.44</v>
          </cell>
          <cell r="J2198" t="str">
            <v>螺栓 М20х70</v>
          </cell>
        </row>
        <row r="2199">
          <cell r="E2199" t="str">
            <v>GB120-86</v>
          </cell>
          <cell r="F2199" t="str">
            <v>Штифт А16х45</v>
          </cell>
          <cell r="G2199">
            <v>1.1499999999999999</v>
          </cell>
          <cell r="J2199" t="str">
            <v>销 А16х45</v>
          </cell>
        </row>
        <row r="2200">
          <cell r="E2200" t="str">
            <v>GB78-85</v>
          </cell>
          <cell r="F2200" t="str">
            <v>Винт М12х16</v>
          </cell>
          <cell r="G2200">
            <v>1</v>
          </cell>
          <cell r="J2200" t="str">
            <v>螺钉 М12х16</v>
          </cell>
        </row>
        <row r="2201">
          <cell r="E2201" t="str">
            <v>k1803.16.01.26</v>
          </cell>
          <cell r="F2201" t="str">
            <v>Дистанционное кольцо</v>
          </cell>
          <cell r="G2201">
            <v>3757.78</v>
          </cell>
          <cell r="J2201" t="str">
            <v>定距环</v>
          </cell>
        </row>
        <row r="2202">
          <cell r="E2202" t="str">
            <v>k1803.16.01.31</v>
          </cell>
          <cell r="F2202" t="str">
            <v>Торцевая крышка</v>
          </cell>
          <cell r="G2202">
            <v>283.38</v>
          </cell>
          <cell r="J2202" t="str">
            <v>轴端挡板</v>
          </cell>
        </row>
        <row r="2203">
          <cell r="E2203" t="str">
            <v>k1803.16.01.34</v>
          </cell>
          <cell r="F2203" t="str">
            <v>Регулировочная прокладка</v>
          </cell>
          <cell r="G2203">
            <v>89.58</v>
          </cell>
          <cell r="J2203" t="str">
            <v>调整垫</v>
          </cell>
        </row>
        <row r="2204">
          <cell r="E2204" t="str">
            <v>K1803.16.01.00-02</v>
          </cell>
          <cell r="F2204" t="str">
            <v>D60*1</v>
          </cell>
          <cell r="G2204">
            <v>302.91000000000003</v>
          </cell>
          <cell r="J2204" t="str">
            <v>D60*1</v>
          </cell>
        </row>
        <row r="2205">
          <cell r="E2205" t="str">
            <v>k1803.16.01.01.00</v>
          </cell>
          <cell r="F2205" t="str">
            <v>Труба</v>
          </cell>
          <cell r="G2205">
            <v>101.64</v>
          </cell>
          <cell r="J2205" t="str">
            <v>焊管</v>
          </cell>
        </row>
        <row r="2206">
          <cell r="E2206" t="str">
            <v>JB/ZQ4451-2006</v>
          </cell>
          <cell r="F2206" t="str">
            <v>Уплотнительная прокладка60*68</v>
          </cell>
          <cell r="G2206">
            <v>153.03</v>
          </cell>
          <cell r="J2206" t="str">
            <v>密封垫60*68</v>
          </cell>
        </row>
        <row r="2207">
          <cell r="E2207" t="str">
            <v>K1803.16.01.32</v>
          </cell>
          <cell r="F2207" t="str">
            <v>Крышка</v>
          </cell>
          <cell r="G2207">
            <v>196.39</v>
          </cell>
          <cell r="J2207" t="str">
            <v>挡板</v>
          </cell>
        </row>
        <row r="2208">
          <cell r="E2208" t="str">
            <v>GB/T5782-2000</v>
          </cell>
          <cell r="F2208" t="str">
            <v>Болт М20х130</v>
          </cell>
          <cell r="G2208">
            <v>1.1499999999999999</v>
          </cell>
          <cell r="J2208" t="str">
            <v>螺栓 М20х130</v>
          </cell>
        </row>
        <row r="2209">
          <cell r="E2209" t="str">
            <v>k1803.16.01.43</v>
          </cell>
          <cell r="F2209" t="str">
            <v>Крышка</v>
          </cell>
          <cell r="G2209">
            <v>188.06</v>
          </cell>
          <cell r="J2209" t="str">
            <v>挡板</v>
          </cell>
        </row>
        <row r="2210">
          <cell r="E2210" t="str">
            <v>k1803.16.01.25</v>
          </cell>
          <cell r="F2210" t="str">
            <v>Регулировочный винт</v>
          </cell>
          <cell r="G2210">
            <v>66.040000000000006</v>
          </cell>
          <cell r="J2210" t="str">
            <v>调节螺栓</v>
          </cell>
        </row>
        <row r="2211">
          <cell r="E2211" t="str">
            <v>k1803.16.01.46</v>
          </cell>
          <cell r="F2211" t="str">
            <v>Переходник</v>
          </cell>
          <cell r="G2211">
            <v>159.35</v>
          </cell>
          <cell r="J2211" t="str">
            <v>转换接头</v>
          </cell>
        </row>
        <row r="2212">
          <cell r="E2212" t="str">
            <v>K1802.16.02.01</v>
          </cell>
          <cell r="F2212" t="str">
            <v>Болт М24х140</v>
          </cell>
          <cell r="G2212">
            <v>66.040000000000006</v>
          </cell>
          <cell r="J2212" t="str">
            <v>螺栓 М24х140</v>
          </cell>
        </row>
        <row r="2213">
          <cell r="E2213" t="str">
            <v>K1801.16.02.02</v>
          </cell>
          <cell r="F2213" t="str">
            <v>Панель для центровки</v>
          </cell>
          <cell r="G2213">
            <v>24.69</v>
          </cell>
          <cell r="J2213" t="str">
            <v>螺纹板</v>
          </cell>
        </row>
        <row r="2214">
          <cell r="E2214" t="str">
            <v>K1801.16.02.07</v>
          </cell>
          <cell r="F2214" t="str">
            <v>Регулировочная прокладка</v>
          </cell>
          <cell r="G2214">
            <v>174.28</v>
          </cell>
          <cell r="J2214" t="str">
            <v>调整垫</v>
          </cell>
        </row>
        <row r="2215">
          <cell r="E2215" t="str">
            <v>CY-M42-3/W</v>
          </cell>
          <cell r="F2215" t="str">
            <v>Супер-гайка М42х3</v>
          </cell>
          <cell r="G2215">
            <v>968.73</v>
          </cell>
          <cell r="J2215" t="str">
            <v>超级螺母 М42х3</v>
          </cell>
        </row>
        <row r="2216">
          <cell r="E2216" t="str">
            <v>K1802.16.02.06</v>
          </cell>
          <cell r="F2216" t="str">
            <v>Панель для центровки</v>
          </cell>
          <cell r="G2216">
            <v>14.07</v>
          </cell>
          <cell r="J2216" t="str">
            <v>螺纹板</v>
          </cell>
        </row>
        <row r="2217">
          <cell r="E2217" t="str">
            <v>K1801.16.02.09</v>
          </cell>
          <cell r="F2217" t="str">
            <v>Торцевая крышка</v>
          </cell>
          <cell r="G2217">
            <v>70.63</v>
          </cell>
          <cell r="J2217" t="str">
            <v>轴端挡板</v>
          </cell>
        </row>
        <row r="2218">
          <cell r="E2218" t="str">
            <v>K1801.16.02.11</v>
          </cell>
          <cell r="F2218" t="str">
            <v>Гайка с отверстием</v>
          </cell>
          <cell r="G2218">
            <v>27.85</v>
          </cell>
          <cell r="J2218" t="str">
            <v>带孔螺丝</v>
          </cell>
        </row>
        <row r="2219">
          <cell r="E2219" t="str">
            <v>K1801.16.03.01</v>
          </cell>
          <cell r="F2219" t="str">
            <v>Шлицевая втулка с наружным зацеплением</v>
          </cell>
          <cell r="G2219">
            <v>478.62</v>
          </cell>
          <cell r="J2219" t="str">
            <v>外齿轴套</v>
          </cell>
        </row>
        <row r="2220">
          <cell r="E2220" t="str">
            <v>K1801.16.03.02</v>
          </cell>
          <cell r="F2220" t="str">
            <v>Втулка с внутренним зацеплением</v>
          </cell>
          <cell r="G2220">
            <v>482.07</v>
          </cell>
          <cell r="J2220" t="str">
            <v>内齿圈</v>
          </cell>
        </row>
        <row r="2221">
          <cell r="E2221" t="str">
            <v>K1801.16.03.01.00</v>
          </cell>
          <cell r="F2221" t="str">
            <v>Проставка</v>
          </cell>
          <cell r="G2221">
            <v>1303.22</v>
          </cell>
          <cell r="J2221" t="str">
            <v>中间套组件</v>
          </cell>
        </row>
        <row r="2222">
          <cell r="E2222" t="str">
            <v>GB/T27</v>
          </cell>
          <cell r="F2222" t="str">
            <v>Болт М20хм6х80</v>
          </cell>
          <cell r="G2222">
            <v>8.61</v>
          </cell>
          <cell r="J2222" t="str">
            <v>螺栓 М20хм6х80</v>
          </cell>
        </row>
        <row r="2223">
          <cell r="E2223" t="str">
            <v>K1801.16.03.03</v>
          </cell>
          <cell r="F2223" t="str">
            <v>Втулка с внутренним зацеплением</v>
          </cell>
          <cell r="G2223">
            <v>593.47</v>
          </cell>
          <cell r="J2223" t="str">
            <v>内齿圈</v>
          </cell>
        </row>
        <row r="2224">
          <cell r="E2224" t="str">
            <v>K1801.16.03.04</v>
          </cell>
          <cell r="F2224" t="str">
            <v>Шлицевая втулка с наружным зацеплением</v>
          </cell>
          <cell r="G2224">
            <v>832.64</v>
          </cell>
          <cell r="J2224" t="str">
            <v>外齿轴套</v>
          </cell>
        </row>
        <row r="2225">
          <cell r="E2225" t="str">
            <v>CY-M95X4/W</v>
          </cell>
          <cell r="F2225" t="str">
            <v>Супер-гайка</v>
          </cell>
          <cell r="G2225">
            <v>4414.99</v>
          </cell>
          <cell r="J2225" t="str">
            <v>超级螺母</v>
          </cell>
        </row>
        <row r="2226">
          <cell r="E2226" t="str">
            <v>K1812.18.07</v>
          </cell>
          <cell r="F2226" t="str">
            <v>Шплиька M95X4X1220</v>
          </cell>
          <cell r="G2226">
            <v>1932.01</v>
          </cell>
          <cell r="J2226" t="str">
            <v>双头螺柱 M95X4X1220</v>
          </cell>
        </row>
        <row r="2227">
          <cell r="E2227" t="str">
            <v>K1812.18.12</v>
          </cell>
          <cell r="F2227" t="str">
            <v>Шплиька M95X4X1727</v>
          </cell>
          <cell r="G2227">
            <v>2779</v>
          </cell>
          <cell r="J2227" t="str">
            <v>双头螺柱 M95X4X1727</v>
          </cell>
        </row>
        <row r="2228">
          <cell r="E2228" t="str">
            <v>K1801.18.13</v>
          </cell>
          <cell r="F2228" t="str">
            <v>Шплиька M52X2X640</v>
          </cell>
          <cell r="G2228">
            <v>409.72</v>
          </cell>
          <cell r="J2228" t="str">
            <v>双头螺柱 M52X2X640</v>
          </cell>
        </row>
        <row r="2229">
          <cell r="E2229" t="str">
            <v>K1801.18.14</v>
          </cell>
          <cell r="F2229" t="str">
            <v>Шлицевая гайка M52</v>
          </cell>
          <cell r="G2229">
            <v>149.59</v>
          </cell>
          <cell r="J2229" t="str">
            <v>开槽螺柱 M52</v>
          </cell>
        </row>
        <row r="2230">
          <cell r="E2230" t="str">
            <v>K1801.18.15</v>
          </cell>
          <cell r="F2230" t="str">
            <v>Прокладочное кольцо</v>
          </cell>
          <cell r="G2230">
            <v>31.3</v>
          </cell>
          <cell r="J2230" t="str">
            <v>垫圈</v>
          </cell>
        </row>
        <row r="2231">
          <cell r="E2231" t="str">
            <v>K1801.18.16</v>
          </cell>
          <cell r="F2231" t="str">
            <v>Прокладочное кольцо</v>
          </cell>
          <cell r="G2231">
            <v>48.81</v>
          </cell>
          <cell r="J2231" t="str">
            <v>垫圈</v>
          </cell>
        </row>
        <row r="2232">
          <cell r="E2232" t="str">
            <v>K1812.18.17</v>
          </cell>
          <cell r="F2232" t="str">
            <v>Защита болта</v>
          </cell>
          <cell r="G2232">
            <v>50.53</v>
          </cell>
          <cell r="J2232" t="str">
            <v>螺栓挡板</v>
          </cell>
        </row>
        <row r="2233">
          <cell r="E2233" t="str">
            <v>K1812.18.18</v>
          </cell>
          <cell r="F2233" t="str">
            <v>Защитный кожух</v>
          </cell>
          <cell r="G2233">
            <v>128.63</v>
          </cell>
          <cell r="J2233" t="str">
            <v>保护套</v>
          </cell>
        </row>
        <row r="2234">
          <cell r="E2234" t="str">
            <v>GB/T 91</v>
          </cell>
          <cell r="F2234" t="str">
            <v>Штифт 8X63</v>
          </cell>
          <cell r="G2234">
            <v>1</v>
          </cell>
          <cell r="J2234" t="str">
            <v>销 8X63</v>
          </cell>
        </row>
        <row r="2235">
          <cell r="E2235" t="str">
            <v>K1801.18.03.05</v>
          </cell>
          <cell r="F2235" t="str">
            <v>Стопорное кольцо</v>
          </cell>
          <cell r="G2235">
            <v>302.05</v>
          </cell>
          <cell r="J2235" t="str">
            <v>挡圈</v>
          </cell>
        </row>
        <row r="2236">
          <cell r="E2236" t="str">
            <v>K1801.18.03.06</v>
          </cell>
          <cell r="F2236" t="str">
            <v>Штифт</v>
          </cell>
          <cell r="G2236">
            <v>93.03</v>
          </cell>
          <cell r="J2236" t="str">
            <v>销</v>
          </cell>
        </row>
        <row r="2237">
          <cell r="E2237" t="str">
            <v>K1801.18.06.03</v>
          </cell>
          <cell r="F2237" t="str">
            <v>Прокладка</v>
          </cell>
          <cell r="G2237">
            <v>10.62</v>
          </cell>
          <cell r="J2237" t="str">
            <v>垫片</v>
          </cell>
        </row>
        <row r="2238">
          <cell r="E2238" t="str">
            <v>GB/T 5782</v>
          </cell>
          <cell r="F2238" t="str">
            <v>Болт M12X90</v>
          </cell>
          <cell r="G2238">
            <v>0.86</v>
          </cell>
          <cell r="J2238" t="str">
            <v>螺栓 M12X90</v>
          </cell>
        </row>
        <row r="2239">
          <cell r="E2239" t="str">
            <v>K1903.21.09.00</v>
          </cell>
          <cell r="F2239" t="str">
            <v>Монтаж стеклоочистителя кабины водителя</v>
          </cell>
          <cell r="G2239">
            <v>9474.85</v>
          </cell>
          <cell r="J2239" t="str">
            <v>司机室雨刮器安装</v>
          </cell>
        </row>
        <row r="2240">
          <cell r="E2240" t="str">
            <v>K1839.21.00-02</v>
          </cell>
          <cell r="F2240" t="str">
            <v>Блок стеклоочитстителя</v>
          </cell>
          <cell r="G2240">
            <v>2584.0500000000002</v>
          </cell>
          <cell r="J2240" t="str">
            <v>办公桌</v>
          </cell>
        </row>
        <row r="2241">
          <cell r="E2241" t="str">
            <v>K1902.21.08.00</v>
          </cell>
          <cell r="F2241" t="str">
            <v>Монтаж кондиционера</v>
          </cell>
          <cell r="G2241">
            <v>86135</v>
          </cell>
          <cell r="J2241" t="str">
            <v xml:space="preserve">空调器安装 </v>
          </cell>
        </row>
        <row r="2242">
          <cell r="E2242" t="str">
            <v>K1836.21.10.00</v>
          </cell>
          <cell r="F2242" t="str">
            <v>Климатическая установка</v>
          </cell>
          <cell r="G2242">
            <v>86135</v>
          </cell>
          <cell r="J2242" t="str">
            <v>冷暖空调器</v>
          </cell>
        </row>
        <row r="2243">
          <cell r="E2243" t="str">
            <v>K1839.21.09.00</v>
          </cell>
          <cell r="F2243" t="str">
            <v>Козырёк кабины водителя</v>
          </cell>
          <cell r="G2243">
            <v>54552.17</v>
          </cell>
          <cell r="J2243" t="str">
            <v>司机室顶檐</v>
          </cell>
        </row>
        <row r="2244">
          <cell r="E2244" t="str">
            <v>K1838.21.11.00</v>
          </cell>
          <cell r="F2244" t="str">
            <v>Обогреватель для ног</v>
          </cell>
          <cell r="G2244">
            <v>9244.91</v>
          </cell>
          <cell r="J2244" t="str">
            <v>脚部风暖系统</v>
          </cell>
        </row>
        <row r="2245">
          <cell r="E2245" t="str">
            <v>K1839.21.00-11</v>
          </cell>
          <cell r="F2245" t="str">
            <v>Настенный электрорадиатор</v>
          </cell>
          <cell r="G2245">
            <v>1021.85</v>
          </cell>
          <cell r="J2245" t="str">
            <v xml:space="preserve">壁挂式电暖气 </v>
          </cell>
        </row>
        <row r="2246">
          <cell r="E2246" t="str">
            <v>K1839.21.12.00</v>
          </cell>
          <cell r="F2246" t="str">
            <v>Защитный кожух для стекол кабины</v>
          </cell>
          <cell r="G2246">
            <v>676.73</v>
          </cell>
          <cell r="J2246" t="str">
            <v>司机室玻璃防护罩</v>
          </cell>
        </row>
        <row r="2247">
          <cell r="E2247" t="str">
            <v>NSE-100/4P-600</v>
          </cell>
          <cell r="F2247" t="str">
            <v>Выключатель</v>
          </cell>
          <cell r="G2247">
            <v>344.54</v>
          </cell>
          <cell r="J2247" t="str">
            <v>断路器</v>
          </cell>
        </row>
        <row r="2248">
          <cell r="E2248" t="str">
            <v>K1838.22.17.00</v>
          </cell>
          <cell r="F2248" t="str">
            <v>Устройство смазки для кузовного вентилятора</v>
          </cell>
          <cell r="G2248">
            <v>124.9</v>
          </cell>
          <cell r="J2248" t="str">
            <v>风机润滑装置</v>
          </cell>
        </row>
        <row r="2249">
          <cell r="E2249" t="str">
            <v>K1838.22.02.04.01</v>
          </cell>
          <cell r="F2249" t="str">
            <v>Шнек</v>
          </cell>
          <cell r="G2249">
            <v>24054.63</v>
          </cell>
          <cell r="J2249" t="str">
            <v>输送机头部</v>
          </cell>
        </row>
        <row r="2250">
          <cell r="E2250" t="str">
            <v>K1831.22.02.04.01.00</v>
          </cell>
          <cell r="F2250" t="str">
            <v>Основание двигателя</v>
          </cell>
          <cell r="G2250">
            <v>447.9</v>
          </cell>
          <cell r="J2250" t="str">
            <v>电机底座</v>
          </cell>
        </row>
        <row r="2251">
          <cell r="E2251" t="str">
            <v>K1831.22.02.04.04</v>
          </cell>
          <cell r="F2251" t="str">
            <v>Труба выброса пыли</v>
          </cell>
          <cell r="G2251">
            <v>735.02</v>
          </cell>
          <cell r="J2251" t="str">
            <v>排灰短管</v>
          </cell>
        </row>
        <row r="2252">
          <cell r="E2252" t="str">
            <v>K1831.22.02.04.03</v>
          </cell>
          <cell r="F2252" t="str">
            <v>Хомут</v>
          </cell>
          <cell r="G2252">
            <v>35.32</v>
          </cell>
          <cell r="J2252" t="str">
            <v>卡箍</v>
          </cell>
        </row>
        <row r="2253">
          <cell r="E2253" t="str">
            <v>K1831.22.02.04.05</v>
          </cell>
          <cell r="F2253" t="str">
            <v>Хомут 2</v>
          </cell>
          <cell r="G2253">
            <v>35.32</v>
          </cell>
          <cell r="J2253" t="str">
            <v>卡箍 2</v>
          </cell>
        </row>
        <row r="2254">
          <cell r="E2254" t="str">
            <v>SNL528</v>
          </cell>
          <cell r="F2254" t="str">
            <v>Гнездо подшипника</v>
          </cell>
          <cell r="G2254">
            <v>6763.32</v>
          </cell>
          <cell r="J2254" t="str">
            <v>轴承座</v>
          </cell>
        </row>
        <row r="2255">
          <cell r="E2255" t="str">
            <v>K1838.22.02.04.02</v>
          </cell>
          <cell r="F2255" t="str">
            <v>Средняя часть транспортёра</v>
          </cell>
          <cell r="G2255">
            <v>21763.439999999999</v>
          </cell>
          <cell r="J2255" t="str">
            <v>输送机中部</v>
          </cell>
        </row>
        <row r="2256">
          <cell r="E2256" t="str">
            <v>K1832.22.02.04.02.00</v>
          </cell>
          <cell r="F2256" t="str">
            <v>Защитный кожух</v>
          </cell>
          <cell r="G2256">
            <v>358.03</v>
          </cell>
          <cell r="J2256" t="str">
            <v>防护罩</v>
          </cell>
        </row>
        <row r="2257">
          <cell r="E2257" t="str">
            <v>K1838.22.11.01.00</v>
          </cell>
          <cell r="F2257" t="str">
            <v>Тельфер</v>
          </cell>
          <cell r="G2257">
            <v>4881.84</v>
          </cell>
          <cell r="J2257" t="str">
            <v>链动单轨小车</v>
          </cell>
        </row>
        <row r="2258">
          <cell r="E2258" t="str">
            <v>K1838.22.11.02.00</v>
          </cell>
          <cell r="F2258" t="str">
            <v>JHQ-AF-5 Буфер JHQ-AF-5</v>
          </cell>
          <cell r="G2258">
            <v>31.87</v>
          </cell>
          <cell r="J2258" t="str">
            <v>缓冲器</v>
          </cell>
        </row>
        <row r="2259">
          <cell r="E2259" t="str">
            <v>K1839.23.18.00</v>
          </cell>
          <cell r="F2259" t="str">
            <v>Основание датчика ориентации поворота</v>
          </cell>
          <cell r="G2259">
            <v>55.7</v>
          </cell>
          <cell r="J2259" t="str">
            <v>回转定位传感器底座</v>
          </cell>
        </row>
        <row r="2260">
          <cell r="E2260" t="str">
            <v>K1839.23.19.00</v>
          </cell>
          <cell r="F2260" t="str">
            <v>Основание датчика ориентации поворота</v>
          </cell>
          <cell r="G2260">
            <v>74.650000000000006</v>
          </cell>
          <cell r="J2260" t="str">
            <v>回转定位传感器底座</v>
          </cell>
        </row>
        <row r="2261">
          <cell r="E2261" t="str">
            <v>K1838.24.00</v>
          </cell>
          <cell r="F2261" t="str">
            <v>Кабельный барабан</v>
          </cell>
          <cell r="G2261">
            <v>160971.67000000001</v>
          </cell>
          <cell r="J2261" t="str">
            <v>电缆卷筒</v>
          </cell>
        </row>
        <row r="2262">
          <cell r="E2262" t="str">
            <v>K1802.25.01.00</v>
          </cell>
          <cell r="F2262" t="str">
            <v>Тяговая штанга кабельного барабана</v>
          </cell>
          <cell r="G2262">
            <v>3466.93</v>
          </cell>
          <cell r="J2262" t="str">
            <v>电缆卷筒拉杆</v>
          </cell>
        </row>
        <row r="2263">
          <cell r="E2263" t="str">
            <v>K1802.25.02.00</v>
          </cell>
          <cell r="F2263" t="str">
            <v>Кронштейн</v>
          </cell>
          <cell r="G2263">
            <v>560.16</v>
          </cell>
          <cell r="J2263" t="str">
            <v>连接座</v>
          </cell>
        </row>
        <row r="2264">
          <cell r="E2264" t="str">
            <v>K1802.25.03.00</v>
          </cell>
          <cell r="F2264" t="str">
            <v>Стойка кабельного барабана</v>
          </cell>
          <cell r="G2264">
            <v>2141.0300000000002</v>
          </cell>
          <cell r="J2264" t="str">
            <v>电缆卷筒支脚</v>
          </cell>
        </row>
        <row r="2265">
          <cell r="E2265" t="str">
            <v>K1802.01.10.00-1</v>
          </cell>
          <cell r="F2265" t="str">
            <v>Зубцедержатель</v>
          </cell>
          <cell r="G2265">
            <v>3361.05</v>
          </cell>
          <cell r="J2265" t="str">
            <v>齿座</v>
          </cell>
        </row>
        <row r="2266">
          <cell r="E2266" t="str">
            <v>K1802.01.10.00-2</v>
          </cell>
          <cell r="F2266" t="str">
            <v>Коронка зубца</v>
          </cell>
          <cell r="G2266">
            <v>808.59</v>
          </cell>
          <cell r="J2266" t="str">
            <v>齿尖</v>
          </cell>
        </row>
        <row r="2267">
          <cell r="E2267" t="str">
            <v>K1802.01.10.00-3</v>
          </cell>
          <cell r="F2267" t="str">
            <v>Клин зубца</v>
          </cell>
          <cell r="G2267">
            <v>125.7</v>
          </cell>
          <cell r="J2267" t="str">
            <v>销</v>
          </cell>
        </row>
        <row r="2268">
          <cell r="E2268" t="str">
            <v>K1802.01.10.00-4</v>
          </cell>
          <cell r="F2268" t="str">
            <v>С-образная скоба</v>
          </cell>
          <cell r="G2268">
            <v>580</v>
          </cell>
          <cell r="J2268" t="str">
            <v>C形卡板</v>
          </cell>
        </row>
        <row r="2269">
          <cell r="E2269" t="str">
            <v>K1802.01.10.00-5</v>
          </cell>
          <cell r="F2269" t="str">
            <v>Клин крепления зубцедержателя</v>
          </cell>
          <cell r="G2269">
            <v>288.45</v>
          </cell>
          <cell r="J2269" t="str">
            <v>楔子</v>
          </cell>
        </row>
        <row r="2270">
          <cell r="E2270" t="str">
            <v>K1802.01.10.00-6</v>
          </cell>
          <cell r="F2270" t="str">
            <v>Накладка износостойкая</v>
          </cell>
          <cell r="G2270">
            <v>380.73</v>
          </cell>
          <cell r="J2270" t="str">
            <v>耐磨帽</v>
          </cell>
        </row>
        <row r="2271">
          <cell r="E2271" t="str">
            <v>K1623.01.00-A</v>
          </cell>
          <cell r="F2271" t="str">
            <v>Ковш в сборе(без подъемной балки)</v>
          </cell>
          <cell r="G2271">
            <v>557607</v>
          </cell>
          <cell r="J2271" t="str">
            <v>铲斗（不含提梁）</v>
          </cell>
        </row>
        <row r="2272">
          <cell r="E2272" t="str">
            <v>K1839.01.00-A</v>
          </cell>
          <cell r="F2272" t="str">
            <v>Ковш в сборе(без подъемной балки)</v>
          </cell>
          <cell r="G2272">
            <v>845794</v>
          </cell>
          <cell r="J2272" t="str">
            <v>铲斗（不含提梁）</v>
          </cell>
        </row>
        <row r="2273">
          <cell r="E2273" t="str">
            <v>K1601.30.04.00</v>
          </cell>
          <cell r="F2273" t="str">
            <v>Балка подъемная К1601.30.04.00 TZ</v>
          </cell>
          <cell r="G2273">
            <v>103611.66666666666</v>
          </cell>
          <cell r="J2273" t="str">
            <v>提梁</v>
          </cell>
        </row>
        <row r="2274">
          <cell r="E2274" t="str">
            <v>K1604.05.05.00</v>
          </cell>
          <cell r="F2274" t="str">
            <v>Барабан подъёма К1604.05.05.00 TZ</v>
          </cell>
          <cell r="G2274">
            <v>537098</v>
          </cell>
          <cell r="J2274" t="str">
            <v>提升卷筒总成</v>
          </cell>
        </row>
        <row r="2275">
          <cell r="E2275" t="str">
            <v>K1812.03.21.00</v>
          </cell>
          <cell r="F2275" t="str">
            <v xml:space="preserve">Напорный вал в сборе </v>
          </cell>
          <cell r="G2275">
            <v>445985</v>
          </cell>
          <cell r="J2275" t="str">
            <v>推压轴总成</v>
          </cell>
        </row>
        <row r="2276">
          <cell r="E2276" t="str">
            <v>K1812.13.00</v>
          </cell>
          <cell r="F2276" t="str">
            <v>Опорно поворотное устройство, роликовый круг</v>
          </cell>
          <cell r="G2276">
            <v>148472.89783199996</v>
          </cell>
          <cell r="J2276" t="str">
            <v>辊盘装置</v>
          </cell>
        </row>
        <row r="2277">
          <cell r="E2277" t="str">
            <v>K1830.05.05.00</v>
          </cell>
          <cell r="F2277" t="str">
            <v>Барабан подъема</v>
          </cell>
          <cell r="G2277">
            <v>623255.74828607985</v>
          </cell>
          <cell r="J2277" t="str">
            <v>提升卷筒总成</v>
          </cell>
        </row>
        <row r="2278">
          <cell r="E2278" t="str">
            <v>K1601.03.21.04.100</v>
          </cell>
          <cell r="F2278" t="str">
            <v>Внутренняя часть седлового подшипника</v>
          </cell>
          <cell r="G2278">
            <v>17432.225999999999</v>
          </cell>
          <cell r="J2278" t="str">
            <v>内侧鞍座体</v>
          </cell>
        </row>
        <row r="2279">
          <cell r="E2279" t="str">
            <v>K1601.03.21.05.100</v>
          </cell>
          <cell r="F2279" t="str">
            <v>Внешняя часть седлового подшипника</v>
          </cell>
          <cell r="G2279">
            <v>17483.657333333333</v>
          </cell>
          <cell r="J2279" t="str">
            <v>外侧鞍座体</v>
          </cell>
        </row>
        <row r="2280">
          <cell r="E2280" t="str">
            <v>K1601.03.01.06</v>
          </cell>
          <cell r="F2280" t="str">
            <v>Штифт D25х50</v>
          </cell>
          <cell r="G2280">
            <v>73.501866666666658</v>
          </cell>
          <cell r="J2280" t="str">
            <v>定位销</v>
          </cell>
        </row>
        <row r="2281">
          <cell r="E2281" t="str">
            <v>K1601.03.21.05.02</v>
          </cell>
          <cell r="F2281" t="str">
            <v>Штифт</v>
          </cell>
          <cell r="G2281">
            <v>1</v>
          </cell>
          <cell r="J2281" t="str">
            <v>3/8连接管</v>
          </cell>
        </row>
        <row r="2282">
          <cell r="E2282" t="str">
            <v>K1601.03.21.04.01</v>
          </cell>
          <cell r="F2282" t="str">
            <v>Штифт</v>
          </cell>
          <cell r="G2282">
            <v>3.7450000000000001</v>
          </cell>
          <cell r="J2282" t="str">
            <v>销</v>
          </cell>
        </row>
        <row r="2283">
          <cell r="E2283" t="str">
            <v>K1623.90.04.02</v>
          </cell>
          <cell r="F2283" t="str">
            <v>РВД</v>
          </cell>
          <cell r="G2283">
            <v>2288.4446666666668</v>
          </cell>
          <cell r="J2283" t="str">
            <v>气路胶管总成</v>
          </cell>
        </row>
        <row r="2284">
          <cell r="E2284" t="str">
            <v>K1623.90.05.01</v>
          </cell>
          <cell r="F2284" t="str">
            <v>РВД</v>
          </cell>
          <cell r="G2284">
            <v>6448.3906666666662</v>
          </cell>
          <cell r="J2284" t="str">
            <v>润滑胶管总成</v>
          </cell>
        </row>
        <row r="2285">
          <cell r="E2285" t="str">
            <v>19057231</v>
          </cell>
          <cell r="F2285" t="str">
            <v>Контроллер управления</v>
          </cell>
          <cell r="G2285">
            <v>7680</v>
          </cell>
          <cell r="J2285" t="str">
            <v>空压机操作屏</v>
          </cell>
        </row>
        <row r="2286">
          <cell r="E2286" t="str">
            <v>K1605.10.04</v>
          </cell>
          <cell r="F2286" t="str">
            <v>Палец крепления</v>
          </cell>
          <cell r="G2286">
            <v>373.25166666666667</v>
          </cell>
          <cell r="J2286" t="str">
            <v>平衡销</v>
          </cell>
        </row>
        <row r="2287">
          <cell r="E2287" t="str">
            <v>K1605.10.05</v>
          </cell>
          <cell r="F2287" t="str">
            <v>Шайба</v>
          </cell>
          <cell r="G2287">
            <v>77.521500000000003</v>
          </cell>
          <cell r="J2287" t="str">
            <v>挡圈</v>
          </cell>
        </row>
        <row r="2288">
          <cell r="E2288" t="str">
            <v>1SN32-700/20-20FJX/20-20FJX</v>
          </cell>
          <cell r="F2288" t="str">
            <v>Рукав 1SN32-700/20-20FJX/20-20FJX TZ</v>
          </cell>
          <cell r="G2288">
            <v>72.37</v>
          </cell>
          <cell r="J2288" t="str">
            <v>软管</v>
          </cell>
        </row>
        <row r="2289">
          <cell r="E2289" t="str">
            <v>K1601.02.01</v>
          </cell>
          <cell r="F2289" t="str">
            <v>Втулка</v>
          </cell>
          <cell r="G2289">
            <v>1025.0065</v>
          </cell>
          <cell r="J2289" t="str">
            <v>斗杆下轴套</v>
          </cell>
        </row>
        <row r="2290">
          <cell r="E2290" t="str">
            <v>K1601.02.02</v>
          </cell>
          <cell r="F2290" t="str">
            <v>Втулка</v>
          </cell>
          <cell r="G2290">
            <v>1128.3684999999998</v>
          </cell>
          <cell r="J2290" t="str">
            <v>斗杆上轴套</v>
          </cell>
        </row>
        <row r="2291">
          <cell r="E2291" t="str">
            <v>K1601.03.11.19</v>
          </cell>
          <cell r="F2291" t="str">
            <v>Масляное уплотнение</v>
          </cell>
          <cell r="G2291">
            <v>262.71174999999994</v>
          </cell>
          <cell r="J2291" t="str">
            <v>一轴油封</v>
          </cell>
        </row>
        <row r="2292">
          <cell r="E2292" t="str">
            <v>K1601.03.11.21</v>
          </cell>
          <cell r="F2292" t="str">
            <v>Масляное уплотнение</v>
          </cell>
          <cell r="G2292">
            <v>210.74363333333329</v>
          </cell>
          <cell r="J2292" t="str">
            <v>一轴油封</v>
          </cell>
        </row>
        <row r="2293">
          <cell r="E2293" t="str">
            <v>K1601.03.11.17</v>
          </cell>
          <cell r="F2293" t="str">
            <v>Подшипник</v>
          </cell>
          <cell r="G2293">
            <v>2273.1026499999998</v>
          </cell>
          <cell r="J2293" t="str">
            <v>一轴轴承</v>
          </cell>
        </row>
        <row r="2294">
          <cell r="E2294" t="str">
            <v>K1601.03.11.22</v>
          </cell>
          <cell r="F2294" t="str">
            <v>Подшипник</v>
          </cell>
          <cell r="G2294">
            <v>6278.0930333333326</v>
          </cell>
          <cell r="J2294" t="str">
            <v>一轴轴承</v>
          </cell>
        </row>
        <row r="2295">
          <cell r="E2295" t="str">
            <v>K1623.92.01.05.00</v>
          </cell>
          <cell r="F2295" t="str">
            <v>Сборка клапана понижения давления</v>
          </cell>
          <cell r="G2295">
            <v>2032.498883333333</v>
          </cell>
          <cell r="J2295" t="str">
            <v>减压阀</v>
          </cell>
        </row>
        <row r="2296">
          <cell r="E2296" t="str">
            <v>K1623.92.02.06.00</v>
          </cell>
          <cell r="F2296" t="str">
            <v>Установка размораживателя</v>
          </cell>
          <cell r="G2296">
            <v>4221.1892333333335</v>
          </cell>
          <cell r="J2296" t="str">
            <v>防冻器</v>
          </cell>
        </row>
        <row r="2297">
          <cell r="E2297" t="str">
            <v>K1802.24.20.03.00</v>
          </cell>
          <cell r="F2297" t="str">
            <v>Муфта</v>
          </cell>
          <cell r="G2297">
            <v>521.11674999999991</v>
          </cell>
          <cell r="J2297" t="str">
            <v>联轴节</v>
          </cell>
        </row>
        <row r="2298">
          <cell r="E2298" t="str">
            <v>KY0C1</v>
          </cell>
          <cell r="F2298" t="str">
            <v>Фильтр</v>
          </cell>
          <cell r="G2298">
            <v>717.79166666666652</v>
          </cell>
          <cell r="J2298" t="str">
            <v>烟雾报警器</v>
          </cell>
        </row>
        <row r="2299">
          <cell r="E2299" t="str">
            <v>35GJDHP1-030-000</v>
          </cell>
          <cell r="F2299" t="str">
            <v>Щеткодержатель</v>
          </cell>
          <cell r="G2299">
            <v>56</v>
          </cell>
          <cell r="J2299" t="str">
            <v>人字加长小刷架</v>
          </cell>
        </row>
        <row r="2300">
          <cell r="E2300" t="str">
            <v>LAD-7B106</v>
          </cell>
          <cell r="F2300" t="str">
            <v>Монтажное основание реле давления</v>
          </cell>
          <cell r="G2300">
            <v>120</v>
          </cell>
          <cell r="J2300" t="str">
            <v>热继安装底座</v>
          </cell>
        </row>
        <row r="2301">
          <cell r="E2301" t="str">
            <v>H400</v>
          </cell>
          <cell r="F2301" t="str">
            <v>Нагреватель</v>
          </cell>
          <cell r="G2301">
            <v>980</v>
          </cell>
          <cell r="J2301" t="str">
            <v>加热器</v>
          </cell>
        </row>
        <row r="2302">
          <cell r="E2302" t="str">
            <v>YJ13L4-1</v>
          </cell>
          <cell r="F2302" t="str">
            <v>Заземляющая щетка и её держатель</v>
          </cell>
          <cell r="G2302">
            <v>230</v>
          </cell>
          <cell r="J2302" t="str">
            <v>接地刷架及接地电刷</v>
          </cell>
        </row>
        <row r="2303">
          <cell r="E2303" t="str">
            <v>YL08C</v>
          </cell>
          <cell r="F2303" t="str">
            <v>Вентилятор</v>
          </cell>
          <cell r="G2303">
            <v>5950.78</v>
          </cell>
          <cell r="J2303" t="str">
            <v>行走电机风机</v>
          </cell>
        </row>
        <row r="2304">
          <cell r="E2304" t="str">
            <v>YJ80A1-26</v>
          </cell>
          <cell r="F2304" t="str">
            <v>Заземляющая щетка и её держатель</v>
          </cell>
          <cell r="G2304">
            <v>230</v>
          </cell>
          <cell r="J2304" t="str">
            <v>接地刷架及接地电刷</v>
          </cell>
        </row>
        <row r="2305">
          <cell r="E2305" t="str">
            <v>K1601.03.20.01</v>
          </cell>
          <cell r="F2305" t="str">
            <v>Вал шестерни</v>
          </cell>
          <cell r="G2305">
            <v>11556.445833333331</v>
          </cell>
          <cell r="J2305" t="str">
            <v>小齿轮轴</v>
          </cell>
        </row>
        <row r="2306">
          <cell r="E2306" t="str">
            <v>K1601.03.20.08B</v>
          </cell>
          <cell r="F2306" t="str">
            <v xml:space="preserve"> Шестерня</v>
          </cell>
          <cell r="G2306">
            <v>36320.258333333324</v>
          </cell>
          <cell r="J2306" t="str">
            <v>齿轮</v>
          </cell>
        </row>
        <row r="2307">
          <cell r="E2307" t="str">
            <v>K1601.03.20.02B</v>
          </cell>
          <cell r="F2307" t="str">
            <v>Дистанционное кольцо</v>
          </cell>
          <cell r="G2307">
            <v>561.31308333333322</v>
          </cell>
          <cell r="J2307" t="str">
            <v>定距环</v>
          </cell>
        </row>
        <row r="2308">
          <cell r="E2308" t="str">
            <v>K1601.03.20.09</v>
          </cell>
          <cell r="F2308" t="str">
            <v>Подшипник</v>
          </cell>
          <cell r="G2308">
            <v>2476.3812499999995</v>
          </cell>
          <cell r="J2308" t="str">
            <v>轴承</v>
          </cell>
        </row>
        <row r="2309">
          <cell r="E2309" t="str">
            <v>K1601.03.20.11</v>
          </cell>
          <cell r="F2309" t="str">
            <v>Подшипник</v>
          </cell>
          <cell r="G2309">
            <v>4127.302083333333</v>
          </cell>
          <cell r="J2309" t="str">
            <v>轴承</v>
          </cell>
        </row>
        <row r="2310">
          <cell r="E2310" t="str">
            <v>K1601.03.20.03</v>
          </cell>
          <cell r="F2310" t="str">
            <v>Крыша подшипника</v>
          </cell>
          <cell r="G2310">
            <v>396.221</v>
          </cell>
          <cell r="J2310" t="str">
            <v>轴承端盖</v>
          </cell>
        </row>
        <row r="2311">
          <cell r="E2311" t="str">
            <v>K1601.03.20.04</v>
          </cell>
          <cell r="F2311" t="str">
            <v>Крыша</v>
          </cell>
          <cell r="G2311">
            <v>429.23941666666661</v>
          </cell>
          <cell r="J2311" t="str">
            <v>闷盖</v>
          </cell>
        </row>
        <row r="2312">
          <cell r="E2312" t="str">
            <v>K1601.03.20.05</v>
          </cell>
          <cell r="F2312" t="str">
            <v>Нажимная планка</v>
          </cell>
          <cell r="G2312">
            <v>214.61970833333331</v>
          </cell>
          <cell r="J2312" t="str">
            <v>轴承压板</v>
          </cell>
        </row>
        <row r="2313">
          <cell r="E2313" t="str">
            <v>K1601.03.20.01.00I</v>
          </cell>
          <cell r="F2313" t="str">
            <v>Фланцевый вал</v>
          </cell>
          <cell r="G2313">
            <v>99.055250000000001</v>
          </cell>
          <cell r="J2313" t="str">
            <v>法兰轴</v>
          </cell>
        </row>
        <row r="2314">
          <cell r="E2314" t="str">
            <v>K1601.03.20.06</v>
          </cell>
          <cell r="F2314" t="str">
            <v>Прокладочное кольцо</v>
          </cell>
          <cell r="G2314">
            <v>33.01841666666666</v>
          </cell>
          <cell r="J2314" t="str">
            <v>垫</v>
          </cell>
        </row>
        <row r="2315">
          <cell r="E2315" t="str">
            <v>K1601.03.20.07</v>
          </cell>
          <cell r="F2315" t="str">
            <v>Прокладочное кольцо</v>
          </cell>
          <cell r="G2315">
            <v>33.01841666666666</v>
          </cell>
          <cell r="J2315" t="str">
            <v>垫</v>
          </cell>
        </row>
        <row r="2316">
          <cell r="E2316" t="str">
            <v>K1601.03.20.12</v>
          </cell>
          <cell r="F2316" t="str">
            <v>Масляное уплотнение</v>
          </cell>
          <cell r="G2316">
            <v>891.49724999999978</v>
          </cell>
          <cell r="J2316" t="str">
            <v>油封</v>
          </cell>
        </row>
        <row r="2317">
          <cell r="E2317" t="str">
            <v>GB/T5783 20X60</v>
          </cell>
          <cell r="F2317" t="str">
            <v>Болт M20X60</v>
          </cell>
          <cell r="G2317">
            <v>8.254604166666665</v>
          </cell>
          <cell r="J2317" t="str">
            <v>螺栓M20X60</v>
          </cell>
        </row>
        <row r="2318">
          <cell r="E2318" t="str">
            <v>K1601.03.20.00-01</v>
          </cell>
          <cell r="F2318" t="str">
            <v>Железная проволока D2X500</v>
          </cell>
          <cell r="G2318">
            <v>6.6036833333333327</v>
          </cell>
          <cell r="J2318" t="str">
            <v>铁丝</v>
          </cell>
        </row>
        <row r="2319">
          <cell r="E2319" t="str">
            <v>GB/T93-87</v>
          </cell>
          <cell r="F2319" t="str">
            <v>Прокладочное кольцо 16</v>
          </cell>
          <cell r="G2319">
            <v>0.82546041666666659</v>
          </cell>
          <cell r="J2319" t="str">
            <v>垫圈</v>
          </cell>
        </row>
        <row r="2320">
          <cell r="E2320" t="str">
            <v>GB/T5783 16X45</v>
          </cell>
          <cell r="F2320" t="str">
            <v>Болт M16X45</v>
          </cell>
          <cell r="G2320">
            <v>3.3018416666666663</v>
          </cell>
          <cell r="J2320" t="str">
            <v>螺栓M16X45</v>
          </cell>
        </row>
        <row r="2321">
          <cell r="E2321" t="str">
            <v>GB/T5783 10X30</v>
          </cell>
          <cell r="F2321" t="str">
            <v>Болт M10X30</v>
          </cell>
          <cell r="G2321">
            <v>2.146197083333333</v>
          </cell>
          <cell r="J2321" t="str">
            <v>螺栓M10X30</v>
          </cell>
        </row>
        <row r="2322">
          <cell r="E2322" t="str">
            <v>K1601.03.11.01</v>
          </cell>
          <cell r="F2322" t="str">
            <v>Ось шестерни</v>
          </cell>
          <cell r="G2322">
            <v>7465.0333333333319</v>
          </cell>
          <cell r="J2322" t="str">
            <v>齿轮轴</v>
          </cell>
        </row>
        <row r="2323">
          <cell r="E2323" t="str">
            <v>K1601.03.11.02</v>
          </cell>
          <cell r="F2323" t="str">
            <v>Глухая крыша</v>
          </cell>
          <cell r="G2323">
            <v>272.76083333333332</v>
          </cell>
          <cell r="J2323" t="str">
            <v>轴承固定盖</v>
          </cell>
        </row>
        <row r="2324">
          <cell r="E2324" t="str">
            <v>K1601.03.11.03</v>
          </cell>
          <cell r="F2324" t="str">
            <v>Глухая крыша</v>
          </cell>
          <cell r="G2324">
            <v>330.18416666666661</v>
          </cell>
          <cell r="J2324" t="str">
            <v>轴承固定盖</v>
          </cell>
        </row>
        <row r="2325">
          <cell r="E2325" t="str">
            <v>K1601.03.11.04</v>
          </cell>
          <cell r="F2325" t="str">
            <v>Распорная втулка</v>
          </cell>
          <cell r="G2325">
            <v>387.60749999999996</v>
          </cell>
          <cell r="J2325" t="str">
            <v>隔套</v>
          </cell>
        </row>
        <row r="2326">
          <cell r="E2326" t="str">
            <v>K1601.03.11.05</v>
          </cell>
          <cell r="F2326" t="str">
            <v>Планка для крепления</v>
          </cell>
          <cell r="G2326">
            <v>387.60749999999996</v>
          </cell>
          <cell r="J2326" t="str">
            <v>固定板</v>
          </cell>
        </row>
        <row r="2327">
          <cell r="E2327" t="str">
            <v>K1601.03.11.06</v>
          </cell>
          <cell r="F2327" t="str">
            <v>Герметичная заслонка</v>
          </cell>
          <cell r="G2327">
            <v>387.60749999999996</v>
          </cell>
          <cell r="J2327" t="str">
            <v>挡板</v>
          </cell>
        </row>
        <row r="2328">
          <cell r="E2328" t="str">
            <v>K1601.03.11.07</v>
          </cell>
          <cell r="F2328" t="str">
            <v>Уплотнительная прокладка</v>
          </cell>
          <cell r="G2328">
            <v>53.116583333333331</v>
          </cell>
          <cell r="J2328" t="str">
            <v>密封垫</v>
          </cell>
        </row>
        <row r="2329">
          <cell r="E2329" t="str">
            <v>K1601.03.11.18</v>
          </cell>
          <cell r="F2329" t="str">
            <v>Уплотнительное кольцо в форме О</v>
          </cell>
          <cell r="G2329">
            <v>93.312916666666666</v>
          </cell>
          <cell r="J2329" t="str">
            <v>O形密封环</v>
          </cell>
        </row>
        <row r="2330">
          <cell r="E2330" t="str">
            <v>K1601.03.11.08</v>
          </cell>
          <cell r="F2330" t="str">
            <v>Подшипниковый щит</v>
          </cell>
          <cell r="G2330">
            <v>531.16583333333324</v>
          </cell>
          <cell r="J2330" t="str">
            <v>轴承套</v>
          </cell>
        </row>
        <row r="2331">
          <cell r="E2331" t="str">
            <v>K1601.03.11.23</v>
          </cell>
          <cell r="F2331" t="str">
            <v>Стопорная шайба</v>
          </cell>
          <cell r="G2331">
            <v>617.30083333333323</v>
          </cell>
          <cell r="J2331" t="str">
            <v>止动垫圈</v>
          </cell>
        </row>
        <row r="2332">
          <cell r="E2332" t="str">
            <v>GB5783-86 16X40</v>
          </cell>
          <cell r="F2332" t="str">
            <v>Болт M16X40</v>
          </cell>
          <cell r="G2332">
            <v>4.3067499999999992</v>
          </cell>
          <cell r="J2332" t="str">
            <v>螺栓M16X40</v>
          </cell>
        </row>
        <row r="2333">
          <cell r="E2333" t="str">
            <v>GB93-86</v>
          </cell>
          <cell r="F2333" t="str">
            <v>Прокладочное кольцо 16</v>
          </cell>
          <cell r="G2333">
            <v>0.86134999999999984</v>
          </cell>
          <cell r="J2333" t="str">
            <v>垫圈</v>
          </cell>
        </row>
        <row r="2334">
          <cell r="E2334" t="str">
            <v>GB5783-86 12X25</v>
          </cell>
          <cell r="F2334" t="str">
            <v>Болт M12X25</v>
          </cell>
          <cell r="G2334">
            <v>2.8711666666666664</v>
          </cell>
          <cell r="J2334" t="str">
            <v>螺栓M12X25</v>
          </cell>
        </row>
        <row r="2335">
          <cell r="E2335" t="str">
            <v>GB93-87 12</v>
          </cell>
          <cell r="F2335" t="str">
            <v>Прокладочное кольцо 12</v>
          </cell>
          <cell r="G2335">
            <v>0.71779166666666661</v>
          </cell>
          <cell r="J2335" t="str">
            <v>垫圈</v>
          </cell>
        </row>
        <row r="2336">
          <cell r="E2336" t="str">
            <v>GB5783-86 12X35</v>
          </cell>
          <cell r="F2336" t="str">
            <v>Болт M12X35</v>
          </cell>
          <cell r="G2336">
            <v>4.5938666666666661</v>
          </cell>
          <cell r="J2336" t="str">
            <v>螺栓M12X35</v>
          </cell>
        </row>
        <row r="2337">
          <cell r="E2337" t="str">
            <v>K1601.03.11.00-01</v>
          </cell>
          <cell r="F2337" t="str">
            <v xml:space="preserve"> Железная проволока d2x305</v>
          </cell>
          <cell r="G2337">
            <v>28.711666666666662</v>
          </cell>
          <cell r="J2337" t="str">
            <v>铁丝</v>
          </cell>
        </row>
        <row r="2338">
          <cell r="E2338" t="str">
            <v>K1601.03.11.09</v>
          </cell>
          <cell r="F2338" t="str">
            <v>Уплотнительная прокладка</v>
          </cell>
          <cell r="G2338">
            <v>53.116583333333331</v>
          </cell>
          <cell r="J2338" t="str">
            <v>密封垫</v>
          </cell>
        </row>
        <row r="2339">
          <cell r="E2339" t="str">
            <v>K1601.03.11.14</v>
          </cell>
          <cell r="F2339" t="str">
            <v>Тормозное колесо</v>
          </cell>
          <cell r="G2339">
            <v>3301.8416666666662</v>
          </cell>
          <cell r="J2339" t="str">
            <v>制动轮</v>
          </cell>
        </row>
        <row r="2340">
          <cell r="E2340" t="str">
            <v>GB/T14626-93</v>
          </cell>
          <cell r="F2340" t="str">
            <v>Муфта TEC10-Sch40Rc</v>
          </cell>
          <cell r="G2340">
            <v>22.969333333333331</v>
          </cell>
          <cell r="J2340" t="str">
            <v>管箍TEC10-Sch40Rc</v>
          </cell>
        </row>
        <row r="2341">
          <cell r="E2341" t="str">
            <v>K1601.03.11.12</v>
          </cell>
          <cell r="F2341" t="str">
            <v>Соединение</v>
          </cell>
          <cell r="G2341">
            <v>10.04908333333333</v>
          </cell>
          <cell r="J2341" t="str">
            <v>接头</v>
          </cell>
        </row>
        <row r="2342">
          <cell r="E2342" t="str">
            <v>K1601.03.11.15</v>
          </cell>
          <cell r="F2342" t="str">
            <v>1/4″X254</v>
          </cell>
          <cell r="G2342">
            <v>86.135000000000005</v>
          </cell>
          <cell r="J2342" t="str">
            <v>1/4″X254</v>
          </cell>
        </row>
        <row r="2343">
          <cell r="E2343" t="str">
            <v>K1601.03.11.16</v>
          </cell>
          <cell r="F2343" t="str">
            <v>1/4″X102</v>
          </cell>
          <cell r="G2343">
            <v>86.135000000000005</v>
          </cell>
          <cell r="J2343" t="str">
            <v>1/4″X102</v>
          </cell>
        </row>
        <row r="2344">
          <cell r="E2344" t="str">
            <v>K1601.03.11.11</v>
          </cell>
          <cell r="F2344" t="str">
            <v>Распорная втулка</v>
          </cell>
          <cell r="G2344">
            <v>358.89583333333326</v>
          </cell>
          <cell r="J2344" t="str">
            <v>隔套</v>
          </cell>
        </row>
        <row r="2345">
          <cell r="E2345" t="str">
            <v>TZB7536-85</v>
          </cell>
          <cell r="F2345" t="str">
            <v>Гайка M90X4</v>
          </cell>
          <cell r="G2345">
            <v>157.91416666666663</v>
          </cell>
          <cell r="J2345" t="str">
            <v>螺母M90X4</v>
          </cell>
        </row>
        <row r="2346">
          <cell r="E2346" t="str">
            <v>GB12459-90</v>
          </cell>
          <cell r="F2346" t="str">
            <v>Колено 45E（L） 15-Sch40</v>
          </cell>
          <cell r="G2346">
            <v>33.018416666666667</v>
          </cell>
          <cell r="J2346" t="str">
            <v>弯头</v>
          </cell>
        </row>
        <row r="2347">
          <cell r="E2347" t="str">
            <v>K1601.03.11.25</v>
          </cell>
          <cell r="F2347" t="str">
            <v>Шпонка</v>
          </cell>
          <cell r="G2347">
            <v>61.730083333333326</v>
          </cell>
          <cell r="J2347" t="str">
            <v>键</v>
          </cell>
        </row>
        <row r="2348">
          <cell r="E2348" t="str">
            <v>JB/ZQ4425 10X8</v>
          </cell>
          <cell r="F2348" t="str">
            <v>Переходный ниппель</v>
          </cell>
          <cell r="G2348">
            <v>14.355833333333331</v>
          </cell>
          <cell r="J2348" t="str">
            <v>内外接头</v>
          </cell>
        </row>
        <row r="2349">
          <cell r="E2349" t="str">
            <v>JB/ZQ4424 115X5.7</v>
          </cell>
          <cell r="F2349" t="str">
            <v>Уплотнительное кольцо</v>
          </cell>
          <cell r="G2349">
            <v>28.711666666666662</v>
          </cell>
          <cell r="J2349" t="str">
            <v>O形圈</v>
          </cell>
        </row>
        <row r="2350">
          <cell r="E2350" t="str">
            <v>K1601.05.02.01</v>
          </cell>
          <cell r="F2350" t="str">
            <v>Заслонка торца вала</v>
          </cell>
          <cell r="G2350">
            <v>189.85589583333328</v>
          </cell>
          <cell r="J2350" t="str">
            <v>轴端挡板</v>
          </cell>
        </row>
        <row r="2351">
          <cell r="E2351" t="str">
            <v>K1601.05.02.02</v>
          </cell>
          <cell r="F2351" t="str">
            <v>Распорная втулка</v>
          </cell>
          <cell r="G2351">
            <v>222.87431249999995</v>
          </cell>
          <cell r="J2351" t="str">
            <v>隔套</v>
          </cell>
        </row>
        <row r="2352">
          <cell r="E2352" t="str">
            <v>K1601.05.02.03</v>
          </cell>
          <cell r="F2352" t="str">
            <v>Прозрачная крышка</v>
          </cell>
          <cell r="G2352">
            <v>194.80865833333331</v>
          </cell>
          <cell r="J2352" t="str">
            <v>透盖</v>
          </cell>
        </row>
        <row r="2353">
          <cell r="E2353" t="str">
            <v>K1601.05.02.04</v>
          </cell>
          <cell r="F2353" t="str">
            <v>Распорная втулка</v>
          </cell>
          <cell r="G2353">
            <v>222.87431249999995</v>
          </cell>
          <cell r="J2353" t="str">
            <v>隔套</v>
          </cell>
        </row>
        <row r="2354">
          <cell r="E2354" t="str">
            <v>K1601.05.02.05</v>
          </cell>
          <cell r="F2354" t="str">
            <v>Маслоотбойник</v>
          </cell>
          <cell r="G2354">
            <v>156.83747916666664</v>
          </cell>
          <cell r="J2354" t="str">
            <v>挡油盘</v>
          </cell>
        </row>
        <row r="2355">
          <cell r="E2355" t="str">
            <v>K1601.05.02.06</v>
          </cell>
          <cell r="F2355" t="str">
            <v>Стакан подшипника</v>
          </cell>
          <cell r="G2355">
            <v>156.83747916666664</v>
          </cell>
          <cell r="J2355" t="str">
            <v>轴承套杯</v>
          </cell>
        </row>
        <row r="2356">
          <cell r="E2356" t="str">
            <v>K1601.05.02.15</v>
          </cell>
          <cell r="F2356" t="str">
            <v>Цилиндрическийроликовый подшипник</v>
          </cell>
          <cell r="G2356">
            <v>3235.8048333333327</v>
          </cell>
          <cell r="J2356" t="str">
            <v>圆柱滚子轴承</v>
          </cell>
        </row>
        <row r="2357">
          <cell r="E2357" t="str">
            <v>K1601.05.02.07A</v>
          </cell>
          <cell r="F2357" t="str">
            <v>Шестеренчатый вал</v>
          </cell>
          <cell r="G2357">
            <v>5365.4927083333323</v>
          </cell>
          <cell r="J2357" t="str">
            <v>齿轮轴</v>
          </cell>
        </row>
        <row r="2358">
          <cell r="E2358" t="str">
            <v>K1601.05.02.08</v>
          </cell>
          <cell r="F2358" t="str">
            <v>Стакан подшипника</v>
          </cell>
          <cell r="G2358">
            <v>222.87431249999995</v>
          </cell>
          <cell r="J2358" t="str">
            <v>轴承套杯</v>
          </cell>
        </row>
        <row r="2359">
          <cell r="E2359" t="str">
            <v>K1601.05.02.16</v>
          </cell>
          <cell r="F2359" t="str">
            <v>Сферо-конический двухрядовыйроликовый подшипник</v>
          </cell>
          <cell r="G2359">
            <v>2476.3812499999995</v>
          </cell>
          <cell r="J2359" t="str">
            <v>双列圆锥滚子轴承</v>
          </cell>
        </row>
        <row r="2360">
          <cell r="E2360" t="str">
            <v>K1601.05.02.17</v>
          </cell>
          <cell r="F2360" t="str">
            <v>Уплотнительное кольцов форме О</v>
          </cell>
          <cell r="G2360">
            <v>16.50920833333333</v>
          </cell>
          <cell r="J2360" t="str">
            <v>O形圈</v>
          </cell>
        </row>
        <row r="2361">
          <cell r="E2361" t="str">
            <v>K1601.05.02.09</v>
          </cell>
          <cell r="F2361" t="str">
            <v>Прозрачная крышка</v>
          </cell>
          <cell r="G2361">
            <v>156.83747916666664</v>
          </cell>
          <cell r="J2361" t="str">
            <v>透盖</v>
          </cell>
        </row>
        <row r="2362">
          <cell r="E2362" t="str">
            <v>K1601.05.02.11</v>
          </cell>
          <cell r="F2362" t="str">
            <v>Маслоотбойник</v>
          </cell>
          <cell r="G2362">
            <v>156.83747916666664</v>
          </cell>
          <cell r="J2362" t="str">
            <v>挡油盘</v>
          </cell>
        </row>
        <row r="2363">
          <cell r="E2363" t="str">
            <v>K1601.05.02.12</v>
          </cell>
          <cell r="F2363" t="str">
            <v>Регулировочная прокладка</v>
          </cell>
          <cell r="G2363">
            <v>107.30985416666665</v>
          </cell>
          <cell r="J2363" t="str">
            <v>调整垫片</v>
          </cell>
        </row>
        <row r="2364">
          <cell r="E2364" t="str">
            <v>K1601.05.02.13</v>
          </cell>
          <cell r="F2364" t="str">
            <v>Заслонка торца вала</v>
          </cell>
          <cell r="G2364">
            <v>189.85589583333328</v>
          </cell>
          <cell r="J2364" t="str">
            <v>轴端挡板</v>
          </cell>
        </row>
        <row r="2365">
          <cell r="E2365" t="str">
            <v>K1601.05.02.14</v>
          </cell>
          <cell r="F2365" t="str">
            <v>Болт М12х35</v>
          </cell>
          <cell r="G2365">
            <v>1.6509208333333332</v>
          </cell>
          <cell r="J2365" t="str">
            <v>螺栓M12X35</v>
          </cell>
        </row>
        <row r="2366">
          <cell r="E2366" t="str">
            <v>K1601.05.02.00-01</v>
          </cell>
          <cell r="F2366" t="str">
            <v>Железная проволока? 2х500</v>
          </cell>
          <cell r="G2366">
            <v>3.3018416666666663</v>
          </cell>
          <cell r="J2366" t="str">
            <v>铁丝</v>
          </cell>
        </row>
        <row r="2367">
          <cell r="E2367" t="str">
            <v>GB5782-86 20X70</v>
          </cell>
          <cell r="F2367" t="str">
            <v>Болт М20х70</v>
          </cell>
          <cell r="G2367">
            <v>5.7782229166666648</v>
          </cell>
          <cell r="J2367" t="str">
            <v>螺栓М20х70</v>
          </cell>
        </row>
        <row r="2368">
          <cell r="E2368" t="str">
            <v>GB93-87 20</v>
          </cell>
          <cell r="F2368" t="str">
            <v>Прокладка 20</v>
          </cell>
          <cell r="G2368">
            <v>1.6509208333333332</v>
          </cell>
          <cell r="J2368" t="str">
            <v>垫圈</v>
          </cell>
        </row>
        <row r="2369">
          <cell r="E2369" t="str">
            <v>K1601.05.03.01</v>
          </cell>
          <cell r="F2369" t="str">
            <v>Нажимная крыша</v>
          </cell>
          <cell r="G2369">
            <v>462.25783333333322</v>
          </cell>
          <cell r="J2369" t="str">
            <v>轴承压盖</v>
          </cell>
        </row>
        <row r="2370">
          <cell r="E2370" t="str">
            <v>JB/ZQ4448-86 R3/4</v>
          </cell>
          <cell r="F2370" t="str">
            <v>Пробка R3/4</v>
          </cell>
          <cell r="G2370">
            <v>3.3018416666666663</v>
          </cell>
          <cell r="J2370" t="str">
            <v>螺塞</v>
          </cell>
        </row>
        <row r="2371">
          <cell r="E2371" t="str">
            <v>K1601.05.03.02</v>
          </cell>
          <cell r="F2371" t="str">
            <v>Болт М20х60</v>
          </cell>
          <cell r="G2371">
            <v>10.896077499999997</v>
          </cell>
          <cell r="J2371" t="str">
            <v>螺栓М20х60</v>
          </cell>
        </row>
        <row r="2372">
          <cell r="E2372" t="str">
            <v>1601.05.03.00-01</v>
          </cell>
          <cell r="F2372" t="str">
            <v>Железная проволока? 3.5х1000</v>
          </cell>
          <cell r="G2372">
            <v>8.254604166666665</v>
          </cell>
          <cell r="J2372" t="str">
            <v>铁丝</v>
          </cell>
        </row>
        <row r="2373">
          <cell r="E2373" t="str">
            <v>K1601.05.03.03</v>
          </cell>
          <cell r="F2373" t="str">
            <v>Заслонка торца вала</v>
          </cell>
          <cell r="G2373">
            <v>577.82229166666662</v>
          </cell>
          <cell r="J2373" t="str">
            <v>轴端挡板</v>
          </cell>
        </row>
        <row r="2374">
          <cell r="E2374" t="str">
            <v>K1601.05.03.12</v>
          </cell>
          <cell r="F2374" t="str">
            <v>Сферо-конический двухрядовыйроликовый подшипник</v>
          </cell>
          <cell r="G2374">
            <v>8254.6041666666661</v>
          </cell>
          <cell r="J2374" t="str">
            <v>双列圆锥滚子轴承</v>
          </cell>
        </row>
        <row r="2375">
          <cell r="E2375" t="str">
            <v>K1601.05.03.04A</v>
          </cell>
          <cell r="F2375" t="str">
            <v>Стакан подшипника</v>
          </cell>
          <cell r="G2375">
            <v>472.16335833333318</v>
          </cell>
          <cell r="J2375" t="str">
            <v>轴承套杯</v>
          </cell>
        </row>
        <row r="2376">
          <cell r="E2376" t="str">
            <v>K1601.05.03.05</v>
          </cell>
          <cell r="F2376" t="str">
            <v>Распорная втулка</v>
          </cell>
          <cell r="G2376">
            <v>396.221</v>
          </cell>
          <cell r="J2376" t="str">
            <v>隔套</v>
          </cell>
        </row>
        <row r="2377">
          <cell r="E2377" t="str">
            <v>K1601.05.03.01.00</v>
          </cell>
          <cell r="F2377" t="str">
            <v>Большая шестерня</v>
          </cell>
          <cell r="G2377">
            <v>33018.416666666664</v>
          </cell>
          <cell r="J2377" t="str">
            <v>大齿轮</v>
          </cell>
        </row>
        <row r="2378">
          <cell r="E2378" t="str">
            <v>K1601.05.03.06</v>
          </cell>
          <cell r="F2378" t="str">
            <v>Плоская шпонка с круглой головой</v>
          </cell>
          <cell r="G2378">
            <v>69.338674999999981</v>
          </cell>
          <cell r="J2378" t="str">
            <v>圆头平键</v>
          </cell>
        </row>
        <row r="2379">
          <cell r="E2379" t="str">
            <v>K1601.05.03.07A</v>
          </cell>
          <cell r="F2379" t="str">
            <v>Шестеренчатый вал</v>
          </cell>
          <cell r="G2379">
            <v>16509.208333333332</v>
          </cell>
          <cell r="J2379" t="str">
            <v>齿轮轴</v>
          </cell>
        </row>
        <row r="2380">
          <cell r="E2380" t="str">
            <v>K1601.05.03.08A</v>
          </cell>
          <cell r="F2380" t="str">
            <v>Стакан подшипника</v>
          </cell>
          <cell r="G2380">
            <v>313.67495833333328</v>
          </cell>
          <cell r="J2380" t="str">
            <v>轴承套杯</v>
          </cell>
        </row>
        <row r="2381">
          <cell r="E2381" t="str">
            <v>K1601.05.03.09</v>
          </cell>
          <cell r="F2381" t="str">
            <v>Регулировочная прокладка</v>
          </cell>
          <cell r="G2381">
            <v>105.65893333333332</v>
          </cell>
          <cell r="J2381" t="str">
            <v>调整垫</v>
          </cell>
        </row>
        <row r="2382">
          <cell r="E2382" t="str">
            <v>K1601.05.03.14</v>
          </cell>
          <cell r="F2382" t="str">
            <v>Уплотнительное кольцов форме О</v>
          </cell>
          <cell r="G2382">
            <v>29.716574999999995</v>
          </cell>
          <cell r="J2382" t="str">
            <v>O形密封圈</v>
          </cell>
        </row>
        <row r="2383">
          <cell r="E2383" t="str">
            <v>K1601.05.03.11A</v>
          </cell>
          <cell r="F2383" t="str">
            <v>Ориентировочный штифт</v>
          </cell>
          <cell r="G2383">
            <v>69.338674999999981</v>
          </cell>
          <cell r="J2383" t="str">
            <v>定位销</v>
          </cell>
        </row>
        <row r="2384">
          <cell r="E2384" t="str">
            <v>GB5782-86 20X80</v>
          </cell>
          <cell r="F2384" t="str">
            <v>Болт М20х80</v>
          </cell>
          <cell r="G2384">
            <v>11.55644583333333</v>
          </cell>
          <cell r="J2384" t="str">
            <v>螺栓М20х80</v>
          </cell>
        </row>
        <row r="2385">
          <cell r="E2385" t="str">
            <v>M25549-M255410CD</v>
          </cell>
          <cell r="F2385" t="str">
            <v xml:space="preserve"> Подшипник 11.375"X16"X5.125"</v>
          </cell>
          <cell r="G2385">
            <v>10950</v>
          </cell>
          <cell r="J2385" t="str">
            <v>轴承</v>
          </cell>
        </row>
        <row r="2386">
          <cell r="E2386" t="str">
            <v>K1601.07.02.15</v>
          </cell>
          <cell r="F2386" t="str">
            <v>Группа регулировочных прокладок</v>
          </cell>
          <cell r="G2386">
            <v>33.01841666666666</v>
          </cell>
          <cell r="J2386" t="str">
            <v>调整垫</v>
          </cell>
        </row>
        <row r="2387">
          <cell r="E2387" t="str">
            <v>K1601.07.02.07</v>
          </cell>
          <cell r="F2387" t="str">
            <v>Торцевая крышка</v>
          </cell>
          <cell r="G2387">
            <v>891.49724999999978</v>
          </cell>
          <cell r="J2387" t="str">
            <v>轴承盖</v>
          </cell>
        </row>
        <row r="2388">
          <cell r="E2388" t="str">
            <v>JB/ZQ 4425 25X10</v>
          </cell>
          <cell r="F2388" t="str">
            <v>Соединение 25X10</v>
          </cell>
          <cell r="G2388">
            <v>4.9527624999999986</v>
          </cell>
          <cell r="J2388" t="str">
            <v>内外接头</v>
          </cell>
        </row>
        <row r="2389">
          <cell r="E2389" t="str">
            <v>JB/ZQ 4448 R3/8</v>
          </cell>
          <cell r="F2389" t="str">
            <v>Болт-пробка R3/8</v>
          </cell>
          <cell r="G2389">
            <v>3.3018416666666663</v>
          </cell>
          <cell r="J2389" t="str">
            <v>螺塞</v>
          </cell>
        </row>
        <row r="2390">
          <cell r="E2390" t="str">
            <v>GB/T 5782 20X70</v>
          </cell>
          <cell r="F2390" t="str">
            <v>Болт M20X70</v>
          </cell>
          <cell r="G2390">
            <v>29.716574999999995</v>
          </cell>
          <cell r="J2390" t="str">
            <v>螺栓M20X70</v>
          </cell>
        </row>
        <row r="2391">
          <cell r="E2391" t="str">
            <v>GB/T 93 20</v>
          </cell>
          <cell r="F2391" t="str">
            <v>Прокладочное кольцо 20</v>
          </cell>
          <cell r="G2391">
            <v>3.3018416666666663</v>
          </cell>
          <cell r="J2391" t="str">
            <v>垫圈</v>
          </cell>
        </row>
        <row r="2392">
          <cell r="E2392" t="str">
            <v>GB/T 5783 20X60</v>
          </cell>
          <cell r="F2392" t="str">
            <v>Болт M20X60</v>
          </cell>
          <cell r="G2392">
            <v>29.716574999999995</v>
          </cell>
          <cell r="J2392" t="str">
            <v>螺栓M20X60</v>
          </cell>
        </row>
        <row r="2393">
          <cell r="E2393" t="str">
            <v>K1601.07.02.08</v>
          </cell>
          <cell r="F2393" t="str">
            <v>Торцевая крышка</v>
          </cell>
          <cell r="G2393">
            <v>445.74862499999989</v>
          </cell>
          <cell r="J2393" t="str">
            <v>透盖</v>
          </cell>
        </row>
        <row r="2394">
          <cell r="E2394" t="str">
            <v>GB/T 119</v>
          </cell>
          <cell r="F2394" t="str">
            <v>Штифт 10X20</v>
          </cell>
          <cell r="G2394">
            <v>115.56445833333331</v>
          </cell>
          <cell r="J2394" t="str">
            <v>定位销</v>
          </cell>
        </row>
        <row r="2395">
          <cell r="E2395" t="str">
            <v>K1601.07.02.13</v>
          </cell>
          <cell r="F2395" t="str">
            <v>Торцевая крышка</v>
          </cell>
          <cell r="G2395">
            <v>445.74862499999989</v>
          </cell>
          <cell r="J2395" t="str">
            <v>迷宫透盖</v>
          </cell>
        </row>
        <row r="2396">
          <cell r="E2396" t="str">
            <v>K1601.07.02.16</v>
          </cell>
          <cell r="F2396" t="str">
            <v>Группа регулировочных прокладок</v>
          </cell>
          <cell r="G2396">
            <v>33.01841666666666</v>
          </cell>
          <cell r="J2396" t="str">
            <v>调整垫</v>
          </cell>
        </row>
        <row r="2397">
          <cell r="E2397" t="str">
            <v>GB/T 5781 20X120</v>
          </cell>
          <cell r="F2397" t="str">
            <v>Болт M20X120</v>
          </cell>
          <cell r="G2397">
            <v>36.320258333333321</v>
          </cell>
          <cell r="J2397" t="str">
            <v>螺栓M20X120</v>
          </cell>
        </row>
        <row r="2398">
          <cell r="E2398" t="str">
            <v>GB/T 5783 12X25</v>
          </cell>
          <cell r="F2398" t="str">
            <v>Болт M12X25</v>
          </cell>
          <cell r="G2398">
            <v>9.9055249999999972</v>
          </cell>
          <cell r="J2398" t="str">
            <v>螺栓M12X25</v>
          </cell>
        </row>
        <row r="2399">
          <cell r="E2399" t="str">
            <v>K1601.07.02.04.00</v>
          </cell>
          <cell r="F2399" t="str">
            <v>Стальная труба</v>
          </cell>
          <cell r="G2399">
            <v>115.56445833333331</v>
          </cell>
          <cell r="J2399" t="str">
            <v>喷油管</v>
          </cell>
        </row>
        <row r="2400">
          <cell r="E2400" t="str">
            <v>K1605.07.02.00-01</v>
          </cell>
          <cell r="F2400" t="str">
            <v>Группа регулировочных прокладок 2X50X90</v>
          </cell>
          <cell r="G2400">
            <v>2.4763812499999993</v>
          </cell>
          <cell r="J2400" t="str">
            <v>垫</v>
          </cell>
        </row>
        <row r="2401">
          <cell r="E2401" t="str">
            <v>GB3289.34</v>
          </cell>
          <cell r="F2401" t="str">
            <v>Насадка 15( Rc 1/2 )</v>
          </cell>
          <cell r="G2401">
            <v>11.55644583333333</v>
          </cell>
          <cell r="J2401" t="str">
            <v>管帽</v>
          </cell>
        </row>
        <row r="2402">
          <cell r="E2402" t="str">
            <v>K1601.07.02.14</v>
          </cell>
          <cell r="F2402" t="str">
            <v>Группа регулировочных прокладок</v>
          </cell>
          <cell r="G2402">
            <v>33.01841666666666</v>
          </cell>
          <cell r="J2402" t="str">
            <v>调整垫</v>
          </cell>
        </row>
        <row r="2403">
          <cell r="E2403" t="str">
            <v>K1605.07.02.06.00</v>
          </cell>
          <cell r="F2403" t="str">
            <v>Шестерня</v>
          </cell>
          <cell r="G2403">
            <v>69338.674999999974</v>
          </cell>
          <cell r="J2403" t="str">
            <v>齿轮</v>
          </cell>
        </row>
        <row r="2404">
          <cell r="E2404" t="str">
            <v>JB/ZQ 4448 R1</v>
          </cell>
          <cell r="F2404" t="str">
            <v>Болт-пробка R1</v>
          </cell>
          <cell r="G2404">
            <v>6.9</v>
          </cell>
          <cell r="J2404" t="str">
            <v>螺塞</v>
          </cell>
        </row>
        <row r="2405">
          <cell r="E2405" t="str">
            <v>K1605.07.02.00-02</v>
          </cell>
          <cell r="F2405" t="str">
            <v>Железная проволока 2.8X7620</v>
          </cell>
          <cell r="G2405">
            <v>8.254604166666665</v>
          </cell>
          <cell r="J2405" t="str">
            <v>铁丝</v>
          </cell>
        </row>
        <row r="2406">
          <cell r="E2406" t="str">
            <v>K1601.07.02.12</v>
          </cell>
          <cell r="F2406" t="str">
            <v>Дистанционное кольцо</v>
          </cell>
          <cell r="G2406">
            <v>148.58287499999997</v>
          </cell>
          <cell r="J2406" t="str">
            <v>定位环</v>
          </cell>
        </row>
        <row r="2407">
          <cell r="E2407" t="str">
            <v>K1601.07.02.02A</v>
          </cell>
          <cell r="F2407" t="str">
            <v>Ось шестерни</v>
          </cell>
          <cell r="G2407">
            <v>11556.445833333331</v>
          </cell>
          <cell r="J2407" t="str">
            <v>轴齿轮</v>
          </cell>
        </row>
        <row r="2408">
          <cell r="E2408" t="str">
            <v>K1601.07.02.05.00</v>
          </cell>
          <cell r="F2408" t="str">
            <v>Шестерня</v>
          </cell>
          <cell r="G2408">
            <v>8254.6041666666661</v>
          </cell>
          <cell r="J2408" t="str">
            <v>齿轮</v>
          </cell>
        </row>
        <row r="2409">
          <cell r="E2409" t="str">
            <v>JB/T 966</v>
          </cell>
          <cell r="F2409" t="str">
            <v>Соединение 42/M48X2</v>
          </cell>
          <cell r="G2409">
            <v>21.461970833333329</v>
          </cell>
          <cell r="J2409" t="str">
            <v>管接头</v>
          </cell>
        </row>
        <row r="2410">
          <cell r="E2410" t="str">
            <v>K1605.07.02.00-04</v>
          </cell>
          <cell r="F2410" t="str">
            <v>Стальная труба  D42X4X1000</v>
          </cell>
          <cell r="G2410">
            <v>21.461970833333329</v>
          </cell>
          <cell r="J2410" t="str">
            <v>管</v>
          </cell>
        </row>
        <row r="2411">
          <cell r="E2411" t="str">
            <v>JB/T 979</v>
          </cell>
          <cell r="F2411" t="str">
            <v>Стальная труба42</v>
          </cell>
          <cell r="G2411">
            <v>21.461970833333329</v>
          </cell>
          <cell r="J2411" t="str">
            <v>接管</v>
          </cell>
        </row>
        <row r="2412">
          <cell r="E2412" t="str">
            <v>K1601.07.02.39</v>
          </cell>
          <cell r="F2412" t="str">
            <v>Угольник L</v>
          </cell>
          <cell r="G2412">
            <v>330.18416666666661</v>
          </cell>
          <cell r="J2412" t="str">
            <v>角钢L</v>
          </cell>
        </row>
        <row r="2413">
          <cell r="E2413" t="str">
            <v>JB/ZQ 4321 42</v>
          </cell>
          <cell r="F2413" t="str">
            <v>Болт 89 в форме U 42</v>
          </cell>
          <cell r="G2413">
            <v>24.7638125</v>
          </cell>
          <cell r="J2413" t="str">
            <v>U型螺栓</v>
          </cell>
        </row>
        <row r="2414">
          <cell r="E2414" t="str">
            <v>GB/T 6170 12</v>
          </cell>
          <cell r="F2414" t="str">
            <v>Гайка M12</v>
          </cell>
          <cell r="G2414">
            <v>2.6414733333333329</v>
          </cell>
          <cell r="J2414" t="str">
            <v>螺母</v>
          </cell>
        </row>
        <row r="2415">
          <cell r="E2415" t="str">
            <v>K1601.07.02.41</v>
          </cell>
          <cell r="F2415" t="str">
            <v>Стальная труба</v>
          </cell>
          <cell r="G2415">
            <v>26.414733333333331</v>
          </cell>
          <cell r="J2415" t="str">
            <v>接管</v>
          </cell>
        </row>
        <row r="2416">
          <cell r="E2416" t="str">
            <v>TZQ7510.6</v>
          </cell>
          <cell r="F2416" t="str">
            <v>Маслоизмеритель 320（260X280）</v>
          </cell>
          <cell r="G2416">
            <v>21.461970833333329</v>
          </cell>
          <cell r="J2416" t="str">
            <v>油尺</v>
          </cell>
        </row>
        <row r="2417">
          <cell r="E2417" t="str">
            <v>K1601.07.02.45A</v>
          </cell>
          <cell r="F2417" t="str">
            <v>Крышка со смотровым отверстием (1)</v>
          </cell>
          <cell r="G2417">
            <v>234.43075833333327</v>
          </cell>
          <cell r="J2417" t="str">
            <v>视孔盖（一）</v>
          </cell>
        </row>
        <row r="2418">
          <cell r="E2418" t="str">
            <v>GB/T 5783 8X25</v>
          </cell>
          <cell r="F2418" t="str">
            <v>Болт M8X25</v>
          </cell>
          <cell r="G2418">
            <v>8.254604166666665</v>
          </cell>
          <cell r="J2418" t="str">
            <v>螺栓M8X25</v>
          </cell>
        </row>
        <row r="2419">
          <cell r="E2419" t="str">
            <v>GB/T 93 8</v>
          </cell>
          <cell r="F2419" t="str">
            <v>Прокладочное кольцо 8</v>
          </cell>
          <cell r="G2419">
            <v>1.6509208333333332</v>
          </cell>
          <cell r="J2419" t="str">
            <v>垫圈</v>
          </cell>
        </row>
        <row r="2420">
          <cell r="E2420" t="str">
            <v>K1605.07.02.00-05</v>
          </cell>
          <cell r="F2420" t="str">
            <v>Группа регулировочных прокладок 2X130X180</v>
          </cell>
          <cell r="G2420">
            <v>99.055250000000001</v>
          </cell>
          <cell r="J2420" t="str">
            <v>垫</v>
          </cell>
        </row>
        <row r="2421">
          <cell r="E2421" t="str">
            <v>K1601.07.02.46A</v>
          </cell>
          <cell r="F2421" t="str">
            <v>Крышка со смотровым отверстием (2)</v>
          </cell>
          <cell r="G2421">
            <v>165.09208333333331</v>
          </cell>
          <cell r="J2421" t="str">
            <v>视孔盖（二）</v>
          </cell>
        </row>
        <row r="2422">
          <cell r="E2422" t="str">
            <v>K1605.07.02.00-06</v>
          </cell>
          <cell r="F2422" t="str">
            <v>Группа регулировочных прокладок 2X120X160</v>
          </cell>
          <cell r="G2422">
            <v>33.01841666666666</v>
          </cell>
          <cell r="J2422" t="str">
            <v>垫</v>
          </cell>
        </row>
        <row r="2423">
          <cell r="E2423" t="str">
            <v>GB/T 6170 20</v>
          </cell>
          <cell r="F2423" t="str">
            <v>Гайка M20</v>
          </cell>
          <cell r="G2423">
            <v>3.3018416666666663</v>
          </cell>
          <cell r="J2423" t="str">
            <v>螺母</v>
          </cell>
        </row>
        <row r="2424">
          <cell r="E2424" t="str">
            <v>JB/ZQ 4214</v>
          </cell>
          <cell r="F2424" t="str">
            <v>Болт-пробка N257</v>
          </cell>
          <cell r="G2424">
            <v>241.03444166666662</v>
          </cell>
          <cell r="J2424" t="str">
            <v>防护塞</v>
          </cell>
        </row>
        <row r="2425">
          <cell r="E2425" t="str">
            <v>K1605.07.02.07</v>
          </cell>
          <cell r="F2425" t="str">
            <v>Торцевая крышка</v>
          </cell>
          <cell r="G2425">
            <v>1155.6445833333332</v>
          </cell>
          <cell r="J2425" t="str">
            <v>盖板</v>
          </cell>
        </row>
        <row r="2426">
          <cell r="E2426" t="str">
            <v>K1605.07.02.00-07</v>
          </cell>
          <cell r="F2426" t="str">
            <v>Группа регулировочных прокладок 1XD115</v>
          </cell>
          <cell r="G2426">
            <v>33.01841666666666</v>
          </cell>
          <cell r="J2426" t="str">
            <v>垫</v>
          </cell>
        </row>
        <row r="2427">
          <cell r="E2427" t="str">
            <v>K1803.16.01.00-01</v>
          </cell>
          <cell r="F2427" t="str">
            <v>Железная проволока #12 L=500</v>
          </cell>
          <cell r="G2427">
            <v>7.1779166666666656</v>
          </cell>
          <cell r="J2427" t="str">
            <v>铁丝</v>
          </cell>
        </row>
        <row r="2428">
          <cell r="E2428" t="str">
            <v>JB/ZQ4609-97</v>
          </cell>
          <cell r="F2428" t="str">
            <v>Резиновая веревка φ5х20000</v>
          </cell>
          <cell r="G2428">
            <v>43.067500000000003</v>
          </cell>
          <cell r="J2428" t="str">
            <v>橡胶绳φ5*20000</v>
          </cell>
        </row>
        <row r="2429">
          <cell r="E2429" t="str">
            <v>GB93-87</v>
          </cell>
          <cell r="F2429" t="str">
            <v>Прокладочное кольцо 30</v>
          </cell>
          <cell r="G2429">
            <v>0.76</v>
          </cell>
          <cell r="J2429" t="str">
            <v>垫圈30</v>
          </cell>
        </row>
        <row r="2430">
          <cell r="E2430" t="str">
            <v>GB/T70.1-2000</v>
          </cell>
          <cell r="F2430" t="str">
            <v>Винт М24х100</v>
          </cell>
          <cell r="G2430">
            <v>11</v>
          </cell>
          <cell r="J2430" t="str">
            <v>螺钉M24*100</v>
          </cell>
        </row>
        <row r="2431">
          <cell r="E2431" t="str">
            <v>JB/ZQ4454-2006</v>
          </cell>
          <cell r="F2431" t="str">
            <v>Уплотнительная прокладка</v>
          </cell>
          <cell r="G2431">
            <v>100.49083333333331</v>
          </cell>
          <cell r="J2431" t="str">
            <v>密封垫60*68</v>
          </cell>
        </row>
        <row r="2432">
          <cell r="E2432" t="str">
            <v>K1803.16.01.47</v>
          </cell>
          <cell r="F2432" t="str">
            <v>Резьбовая пробка</v>
          </cell>
          <cell r="G2432">
            <v>28.711666666666662</v>
          </cell>
          <cell r="J2432" t="str">
            <v>螺塞</v>
          </cell>
        </row>
        <row r="2433">
          <cell r="E2433" t="str">
            <v>MB155-22</v>
          </cell>
          <cell r="F2433" t="str">
            <v>выключатель концевой тормоза напора WK-35</v>
          </cell>
          <cell r="G2433">
            <v>3979</v>
          </cell>
          <cell r="J2433" t="str">
            <v>WK-35推压行程控制器</v>
          </cell>
        </row>
        <row r="2434">
          <cell r="E2434" t="str">
            <v>MB253-32</v>
          </cell>
          <cell r="F2434" t="str">
            <v>выключатель концевой тормоза поворота WK-35</v>
          </cell>
          <cell r="G2434">
            <v>3979</v>
          </cell>
          <cell r="J2434" t="str">
            <v>WK-35回转行程控制器</v>
          </cell>
        </row>
        <row r="2435">
          <cell r="E2435" t="str">
            <v>MB223-22</v>
          </cell>
          <cell r="F2435" t="str">
            <v>выключатель концевой тормоза напора WK-20</v>
          </cell>
          <cell r="G2435">
            <v>3979</v>
          </cell>
          <cell r="J2435" t="str">
            <v>WK-20推压行程控制器</v>
          </cell>
        </row>
        <row r="2436">
          <cell r="E2436" t="str">
            <v>MB244-22</v>
          </cell>
          <cell r="F2436" t="str">
            <v>выключатель концевой тормоза поворота WK-20</v>
          </cell>
          <cell r="G2436">
            <v>3979</v>
          </cell>
          <cell r="J2436" t="str">
            <v>WK-20回转行程控制器</v>
          </cell>
        </row>
        <row r="2437">
          <cell r="E2437" t="str">
            <v>MB265-22</v>
          </cell>
          <cell r="F2437" t="str">
            <v>выключатель концевой тормоза хода WK-20</v>
          </cell>
          <cell r="G2437">
            <v>3979</v>
          </cell>
          <cell r="J2437" t="str">
            <v>WK-20行走行程控制器</v>
          </cell>
        </row>
        <row r="2438">
          <cell r="E2438" t="str">
            <v>MB132-27</v>
          </cell>
          <cell r="F2438" t="str">
            <v>выключатель концевой тормоза подъема WK-35</v>
          </cell>
          <cell r="G2438">
            <v>3979</v>
          </cell>
          <cell r="J2438" t="str">
            <v>WK-35提升行程控制器</v>
          </cell>
        </row>
        <row r="2439">
          <cell r="E2439" t="str">
            <v>YJ13L3X1-1</v>
          </cell>
          <cell r="F2439" t="str">
            <v>Крепежный болт кожух зубчатого колеса датчика скорости</v>
          </cell>
          <cell r="G2439">
            <v>2.8711666666666664</v>
          </cell>
          <cell r="J2439" t="str">
            <v>齿轮罩固定螺栓</v>
          </cell>
        </row>
        <row r="2440">
          <cell r="E2440" t="str">
            <v>YJ13L3X1-2</v>
          </cell>
          <cell r="F2440" t="str">
            <v>Кожух зубчатого колеса датчика скорости</v>
          </cell>
          <cell r="G2440">
            <v>861.3499999999998</v>
          </cell>
          <cell r="J2440" t="str">
            <v>齿轮罩</v>
          </cell>
        </row>
        <row r="2441">
          <cell r="E2441" t="str">
            <v>SV-HA-60B</v>
          </cell>
          <cell r="F2441" t="str">
            <v>Подогреватель блока управления посадочной лестницы</v>
          </cell>
          <cell r="G2441">
            <v>264.14733333333328</v>
          </cell>
          <cell r="J2441" t="str">
            <v>登机梯控制箱加热器</v>
          </cell>
        </row>
        <row r="2442">
          <cell r="E2442" t="str">
            <v>YJ13L3X1-3</v>
          </cell>
          <cell r="F2442" t="str">
            <v>Датчик скорости</v>
          </cell>
          <cell r="G2442">
            <v>2469.2033333333329</v>
          </cell>
          <cell r="J2442" t="str">
            <v>速度传感器</v>
          </cell>
        </row>
        <row r="2443">
          <cell r="E2443" t="str">
            <v>YJ13L3X1-4</v>
          </cell>
          <cell r="F2443" t="str">
            <v>Зубчатое колесо датчика скорости</v>
          </cell>
          <cell r="G2443">
            <v>918.7733333333332</v>
          </cell>
          <cell r="J2443" t="str">
            <v>测速齿轮</v>
          </cell>
        </row>
        <row r="2444">
          <cell r="E2444" t="str">
            <v>YJ13L3X1-5</v>
          </cell>
          <cell r="F2444" t="str">
            <v>Крепежный болт внешней крышки подшипника со стороны привода</v>
          </cell>
          <cell r="G2444">
            <v>2.8711666666666664</v>
          </cell>
          <cell r="J2444" t="str">
            <v>传动端外轴承盖固定螺栓</v>
          </cell>
        </row>
        <row r="2445">
          <cell r="E2445" t="str">
            <v>YJ13L3X1-6</v>
          </cell>
          <cell r="F2445" t="str">
            <v>Внешняя крышка подшипника со стороны привода</v>
          </cell>
          <cell r="G2445">
            <v>717.79166666666652</v>
          </cell>
          <cell r="J2445" t="str">
            <v>传动端外轴承盖</v>
          </cell>
        </row>
        <row r="2446">
          <cell r="E2446" t="str">
            <v>YJ13L3X1-7</v>
          </cell>
          <cell r="F2446" t="str">
            <v>Внешняя обойма NU330 подшипника</v>
          </cell>
          <cell r="G2446">
            <v>2526.6266666666661</v>
          </cell>
          <cell r="J2446" t="str">
            <v>轴承NU330外圈</v>
          </cell>
        </row>
        <row r="2447">
          <cell r="E2447" t="str">
            <v>YJ13L3X1-8</v>
          </cell>
          <cell r="F2447" t="str">
            <v>Крепежный болт крышки подшипника со стороны привода</v>
          </cell>
          <cell r="G2447">
            <v>5.7423333333333328</v>
          </cell>
          <cell r="J2447" t="str">
            <v>传动端端盖固定螺栓</v>
          </cell>
        </row>
        <row r="2448">
          <cell r="E2448" t="str">
            <v>YJ13L3X1-10</v>
          </cell>
          <cell r="F2448" t="str">
            <v>Внутренняя обойма NU330 подшипника</v>
          </cell>
          <cell r="G2448">
            <v>287.11666666666662</v>
          </cell>
          <cell r="J2448" t="str">
            <v>轴承NU330内圈</v>
          </cell>
        </row>
        <row r="2449">
          <cell r="E2449" t="str">
            <v>YJ13L3X1-11</v>
          </cell>
          <cell r="F2449" t="str">
            <v>Внутренняя крышка подшипника со стороны привода</v>
          </cell>
          <cell r="G2449">
            <v>861.3499999999998</v>
          </cell>
          <cell r="J2449" t="str">
            <v>传动端内轴承盖</v>
          </cell>
        </row>
        <row r="2450">
          <cell r="E2450" t="str">
            <v>YJ13L3X1-12</v>
          </cell>
          <cell r="F2450" t="str">
            <v>Внутренное стопорное кольцо со стороны привода</v>
          </cell>
          <cell r="G2450">
            <v>200.98166666666663</v>
          </cell>
          <cell r="J2450" t="str">
            <v>传动端内衬环</v>
          </cell>
        </row>
        <row r="2451">
          <cell r="E2451" t="str">
            <v>YJ13L3X1-15</v>
          </cell>
          <cell r="F2451" t="str">
            <v>Внутренное стопорное кольцо со стороны противоположной приводу</v>
          </cell>
          <cell r="G2451">
            <v>200.98166666666663</v>
          </cell>
          <cell r="J2451" t="str">
            <v>非传动端内封环</v>
          </cell>
        </row>
        <row r="2452">
          <cell r="E2452" t="str">
            <v>YJ13L3X1-16</v>
          </cell>
          <cell r="F2452" t="str">
            <v>Крышка подшипника</v>
          </cell>
          <cell r="G2452">
            <v>315.82833333333326</v>
          </cell>
          <cell r="J2452" t="str">
            <v>非传动端内轴承盖</v>
          </cell>
        </row>
        <row r="2453">
          <cell r="E2453" t="str">
            <v>YJ13L3X1-17</v>
          </cell>
          <cell r="F2453" t="str">
            <v>Подшипник</v>
          </cell>
          <cell r="G2453">
            <v>4019.6333333333332</v>
          </cell>
          <cell r="J2453" t="str">
            <v>轴承6324</v>
          </cell>
        </row>
        <row r="2454">
          <cell r="E2454" t="str">
            <v>YJ13L3X1-19</v>
          </cell>
          <cell r="F2454" t="str">
            <v>Крепежный болт крышки подшипника со стороны противоположной приводу</v>
          </cell>
          <cell r="G2454">
            <v>5.7423333333333328</v>
          </cell>
          <cell r="J2454" t="str">
            <v>非传动端端盖固定螺栓</v>
          </cell>
        </row>
        <row r="2455">
          <cell r="E2455" t="str">
            <v>YJ13L3X1-20</v>
          </cell>
          <cell r="F2455" t="str">
            <v>Внешняя крышка подшипника со стороны со стороны противоположной приводу</v>
          </cell>
          <cell r="G2455">
            <v>689.08</v>
          </cell>
          <cell r="J2455" t="str">
            <v>非传动端外轴承盖</v>
          </cell>
        </row>
        <row r="2456">
          <cell r="E2456" t="str">
            <v>YJ13L3X1-21</v>
          </cell>
          <cell r="F2456" t="str">
            <v>Крепежный болт подшипника со стороны противоположной приводу</v>
          </cell>
          <cell r="G2456">
            <v>2.8711666666666664</v>
          </cell>
          <cell r="J2456" t="str">
            <v>非传动端外轴承盖固定螺栓</v>
          </cell>
        </row>
        <row r="2457">
          <cell r="E2457" t="str">
            <v>YJ13L3X1-22</v>
          </cell>
          <cell r="F2457" t="str">
            <v>Внешнее стопорное кольцо со стороны противоположной приводу</v>
          </cell>
          <cell r="G2457">
            <v>172.27</v>
          </cell>
          <cell r="J2457" t="str">
            <v>非传动端外封环</v>
          </cell>
        </row>
        <row r="2458">
          <cell r="E2458" t="str">
            <v>MIC2.3</v>
          </cell>
          <cell r="F2458" t="str">
            <v>Блок-контакт</v>
          </cell>
          <cell r="G2458">
            <v>708.01534416666652</v>
          </cell>
          <cell r="J2458" t="str">
            <v>附件</v>
          </cell>
        </row>
        <row r="2459">
          <cell r="E2459" t="str">
            <v>KY0C1+I4C4:N4C4:L4C4:KC4:I4</v>
          </cell>
          <cell r="F2459" t="str">
            <v>Фильтр</v>
          </cell>
          <cell r="G2459">
            <v>244.04916666666662</v>
          </cell>
          <cell r="J2459" t="str">
            <v>烟雾控制器</v>
          </cell>
        </row>
        <row r="2460">
          <cell r="E2460" t="str">
            <v>20ATZDK-CZH-II</v>
          </cell>
          <cell r="F2460" t="str">
            <v>Розетка 20 А, 20ATZDK-CZH-II, TZ</v>
          </cell>
          <cell r="G2460">
            <v>8.6134999999999984</v>
          </cell>
          <cell r="J2460" t="str">
            <v>三孔多功能插座（欧标）</v>
          </cell>
        </row>
        <row r="2461">
          <cell r="E2461" t="str">
            <v>IC65N-C16A/2P</v>
          </cell>
          <cell r="F2461" t="str">
            <v>Переключатель автоматический</v>
          </cell>
          <cell r="G2461">
            <v>37</v>
          </cell>
          <cell r="J2461" t="str">
            <v>断路器</v>
          </cell>
        </row>
        <row r="2462">
          <cell r="E2462" t="str">
            <v>082-130-050-1</v>
          </cell>
          <cell r="F2462" t="str">
            <v>Маслораспылитель</v>
          </cell>
          <cell r="G2462">
            <v>1464</v>
          </cell>
          <cell r="J2462" t="str">
            <v>喷油器</v>
          </cell>
        </row>
        <row r="2463">
          <cell r="E2463">
            <v>821302165</v>
          </cell>
          <cell r="F2463" t="str">
            <v>Регулятор </v>
          </cell>
          <cell r="G2463">
            <v>323</v>
          </cell>
          <cell r="J2463" t="str">
            <v> 减压阀</v>
          </cell>
        </row>
        <row r="2464">
          <cell r="E2464" t="str">
            <v>K1605.16.03.01</v>
          </cell>
          <cell r="F2464" t="str">
            <v>Втулка внешнего зацепления</v>
          </cell>
          <cell r="G2464">
            <v>931.01</v>
          </cell>
          <cell r="J2464" t="str">
            <v>外齿轴套</v>
          </cell>
        </row>
        <row r="2465">
          <cell r="E2465" t="str">
            <v>K1605.16.03.02</v>
          </cell>
          <cell r="F2465" t="str">
            <v>Кольцо зубчатое</v>
          </cell>
          <cell r="G2465">
            <v>620.66999999999996</v>
          </cell>
          <cell r="J2465" t="str">
            <v>内齿圈</v>
          </cell>
        </row>
        <row r="2466">
          <cell r="E2466" t="str">
            <v>K1605.16.03.03</v>
          </cell>
          <cell r="F2466" t="str">
            <v>Группа втулок центр</v>
          </cell>
          <cell r="G2466">
            <v>620.66999999999996</v>
          </cell>
          <cell r="J2466" t="str">
            <v>中间套</v>
          </cell>
        </row>
        <row r="2467">
          <cell r="E2467" t="str">
            <v>K1605.16.03.04</v>
          </cell>
          <cell r="F2467" t="str">
            <v>Кольцо зубчатое</v>
          </cell>
          <cell r="G2467">
            <v>620.66999999999996</v>
          </cell>
          <cell r="J2467" t="str">
            <v>内齿圈</v>
          </cell>
        </row>
        <row r="2468">
          <cell r="E2468" t="str">
            <v>K1605.16.03.05</v>
          </cell>
          <cell r="F2468" t="str">
            <v>Втулка</v>
          </cell>
          <cell r="G2468">
            <v>620.66999999999996</v>
          </cell>
          <cell r="J2468" t="str">
            <v>外齿轴套</v>
          </cell>
        </row>
        <row r="2469">
          <cell r="E2469" t="str">
            <v>K1601.33.03.01.00</v>
          </cell>
          <cell r="F2469" t="str">
            <v>Пластина износост</v>
          </cell>
          <cell r="G2469">
            <v>369.23</v>
          </cell>
          <cell r="J2469" t="str">
            <v>耐磨块</v>
          </cell>
        </row>
        <row r="2470">
          <cell r="E2470" t="str">
            <v>REXL2TMP7</v>
          </cell>
          <cell r="F2470" t="str">
            <v>Реле времени</v>
          </cell>
          <cell r="G2470">
            <v>83.26</v>
          </cell>
          <cell r="J2470" t="str">
            <v>时间继电器</v>
          </cell>
        </row>
        <row r="2471">
          <cell r="E2471" t="str">
            <v>RC1006</v>
          </cell>
          <cell r="F2471" t="str">
            <v>CYL 100 T S/A GENERAL</v>
          </cell>
          <cell r="G2471">
            <v>6548.01</v>
          </cell>
          <cell r="J2471" t="str">
            <v>油缸</v>
          </cell>
        </row>
        <row r="2472">
          <cell r="E2472" t="str">
            <v>GA3</v>
          </cell>
          <cell r="F2472" t="str">
            <v>GAUGE ADAPTOR</v>
          </cell>
          <cell r="G2472">
            <v>134.82</v>
          </cell>
          <cell r="J2472" t="str">
            <v>压力表座</v>
          </cell>
        </row>
        <row r="2473">
          <cell r="E2473" t="str">
            <v>G2535LM</v>
          </cell>
          <cell r="F2473" t="str">
            <v>GAUGE GLY 10,000 PSI 2.5IN (MPA)</v>
          </cell>
          <cell r="G2473">
            <v>297.10000000000002</v>
          </cell>
          <cell r="J2473" t="str">
            <v>压力表</v>
          </cell>
        </row>
        <row r="2474">
          <cell r="E2474" t="str">
            <v>HC7210</v>
          </cell>
          <cell r="F2474" t="str">
            <v>HOSE 10 FT 3/8 NPT + CH-604</v>
          </cell>
          <cell r="G2474">
            <v>523.54999999999995</v>
          </cell>
          <cell r="J2474" t="str">
            <v>3米油管</v>
          </cell>
        </row>
        <row r="2475">
          <cell r="E2475" t="str">
            <v>PUJ1201E</v>
          </cell>
          <cell r="F2475" t="str">
            <v>PUMP ELEC ECON 3-WAY JOG</v>
          </cell>
          <cell r="G2475">
            <v>7734.92</v>
          </cell>
          <cell r="J2475" t="str">
            <v>电动泵</v>
          </cell>
        </row>
        <row r="2476">
          <cell r="E2476" t="str">
            <v>YJ56EX1</v>
          </cell>
          <cell r="F2476" t="str">
            <v>Электродвигатель подъёма（670kw）</v>
          </cell>
          <cell r="G2476">
            <v>126183.85</v>
          </cell>
          <cell r="J2476" t="str">
            <v>马加丹WK-20提升电机（670kw）</v>
          </cell>
        </row>
        <row r="2477">
          <cell r="E2477" t="str">
            <v>K1627.02.02.00</v>
          </cell>
          <cell r="F2477" t="str">
            <v>Кремальерная рейка</v>
          </cell>
          <cell r="G2477">
            <v>60381</v>
          </cell>
          <cell r="J2477" t="str">
            <v>齿条</v>
          </cell>
        </row>
        <row r="2478">
          <cell r="E2478" t="str">
            <v>K1627.03.05.00</v>
          </cell>
          <cell r="F2478" t="str">
            <v>Канат вантовой системы</v>
          </cell>
          <cell r="G2478">
            <v>15489.32</v>
          </cell>
          <cell r="J2478" t="str">
            <v>绷绳</v>
          </cell>
        </row>
        <row r="2479">
          <cell r="E2479" t="str">
            <v>K1629.03.11.00</v>
          </cell>
          <cell r="F2479" t="str">
            <v>Первичный вал редуктора напора</v>
          </cell>
          <cell r="G2479">
            <v>16270.1</v>
          </cell>
          <cell r="J2479" t="str">
            <v>推压一轴</v>
          </cell>
        </row>
        <row r="2480">
          <cell r="E2480" t="str">
            <v>K1627.03.21.11</v>
          </cell>
          <cell r="F2480" t="str">
            <v>Напорный вал</v>
          </cell>
          <cell r="G2480">
            <v>62318.97</v>
          </cell>
          <cell r="J2480" t="str">
            <v>推压轴</v>
          </cell>
        </row>
        <row r="2481">
          <cell r="E2481" t="str">
            <v>K1630.03.21.21</v>
          </cell>
          <cell r="F2481" t="str">
            <v>Бронзовая втулка напорного вала</v>
          </cell>
          <cell r="G2481">
            <v>9034.06</v>
          </cell>
          <cell r="J2481" t="str">
            <v>推压铜套</v>
          </cell>
        </row>
        <row r="2482">
          <cell r="E2482" t="str">
            <v>K1627.03.21.17</v>
          </cell>
          <cell r="F2482" t="str">
            <v>Упорное кольцо</v>
          </cell>
          <cell r="G2482">
            <v>9312.5400000000009</v>
          </cell>
          <cell r="J2482" t="str">
            <v>止推垫圈</v>
          </cell>
        </row>
        <row r="2483">
          <cell r="E2483" t="str">
            <v>K1630.03.21.01</v>
          </cell>
          <cell r="F2483" t="str">
            <v>Влутка (внутри седла)</v>
          </cell>
          <cell r="G2483">
            <v>5895.55</v>
          </cell>
          <cell r="J2483" t="str">
            <v>轴套（鞍座内）</v>
          </cell>
        </row>
        <row r="2484">
          <cell r="E2484" t="str">
            <v>K1630.03.21.02</v>
          </cell>
          <cell r="F2484" t="str">
            <v>Влутка (снаружи седла)</v>
          </cell>
          <cell r="G2484">
            <v>3159.38</v>
          </cell>
          <cell r="J2484" t="str">
            <v>衬套（鞍座外）</v>
          </cell>
        </row>
        <row r="2485">
          <cell r="E2485" t="str">
            <v>K1627.03.21.12.00</v>
          </cell>
          <cell r="F2485" t="str">
            <v>Кремальерная шестерня напора</v>
          </cell>
          <cell r="G2485">
            <v>22218.39</v>
          </cell>
          <cell r="J2485" t="str">
            <v>推压小齿轮</v>
          </cell>
        </row>
        <row r="2486">
          <cell r="E2486" t="str">
            <v>K1627.03.18.01</v>
          </cell>
          <cell r="F2486" t="str">
            <v>Телескопическая труба</v>
          </cell>
          <cell r="G2486">
            <v>201.86</v>
          </cell>
          <cell r="J2486" t="str">
            <v>伸缩管</v>
          </cell>
        </row>
        <row r="2487">
          <cell r="E2487" t="str">
            <v>K1602.03.03.01</v>
          </cell>
          <cell r="F2487" t="str">
            <v>Палец основания стрелы</v>
          </cell>
          <cell r="G2487">
            <v>2233.59</v>
          </cell>
          <cell r="J2487" t="str">
            <v>大臂根脚销</v>
          </cell>
        </row>
        <row r="2488">
          <cell r="E2488" t="str">
            <v>K1841.04.01.00</v>
          </cell>
          <cell r="F2488" t="str">
            <v>Комплект напрвляющих роликов тросика ОДК</v>
          </cell>
          <cell r="G2488">
            <v>4401.2700000000004</v>
          </cell>
          <cell r="J2488" t="str">
            <v>滑轮架组件</v>
          </cell>
        </row>
        <row r="2489">
          <cell r="E2489" t="str">
            <v>K1845.04.03.00</v>
          </cell>
          <cell r="F2489" t="str">
            <v xml:space="preserve">Установка механизма открывания днища ковша </v>
          </cell>
          <cell r="G2489">
            <v>54480.39</v>
          </cell>
          <cell r="J2489" t="str">
            <v>卷筒和马达装置</v>
          </cell>
        </row>
        <row r="2490">
          <cell r="E2490" t="str">
            <v>K1629.04.02.00</v>
          </cell>
          <cell r="F2490" t="str">
            <v>Рычаг засова ковша</v>
          </cell>
          <cell r="G2490">
            <v>8352.7000000000007</v>
          </cell>
          <cell r="J2490" t="str">
            <v>开斗杠杆</v>
          </cell>
        </row>
        <row r="2491">
          <cell r="E2491" t="str">
            <v>K1627.05.04.01.00</v>
          </cell>
          <cell r="F2491" t="str">
            <v>Первичный вал редуктора подъёма</v>
          </cell>
          <cell r="G2491">
            <v>8946.18</v>
          </cell>
          <cell r="J2491" t="str">
            <v>提升一轴</v>
          </cell>
        </row>
        <row r="2492">
          <cell r="E2492" t="str">
            <v>K1627.05.04.01.05</v>
          </cell>
          <cell r="F2492" t="str">
            <v>Прозрачная крышка</v>
          </cell>
          <cell r="G2492">
            <v>832.41</v>
          </cell>
          <cell r="J2492" t="str">
            <v>透盖</v>
          </cell>
        </row>
        <row r="2493">
          <cell r="E2493" t="str">
            <v>53X3176</v>
          </cell>
          <cell r="F2493" t="str">
            <v>Сальник 5.125x6.125x0.5</v>
          </cell>
          <cell r="G2493">
            <v>227.4</v>
          </cell>
          <cell r="J2493" t="str">
            <v>油封5.125x6.125x0.5</v>
          </cell>
        </row>
        <row r="2494">
          <cell r="E2494" t="str">
            <v>K1627.05.04.04.00-1</v>
          </cell>
          <cell r="F2494" t="str">
            <v>Вторичный вал редуктора подъёма</v>
          </cell>
          <cell r="G2494">
            <v>92099.11</v>
          </cell>
          <cell r="J2494" t="str">
            <v>提升二轴</v>
          </cell>
        </row>
        <row r="2495">
          <cell r="E2495" t="str">
            <v>K1627.05.04.02.00-2</v>
          </cell>
          <cell r="F2495" t="str">
            <v>Вторичный вал редуктора подъёма</v>
          </cell>
          <cell r="G2495">
            <v>92099.11</v>
          </cell>
          <cell r="J2495" t="str">
            <v>提升二轴</v>
          </cell>
        </row>
        <row r="2496">
          <cell r="E2496" t="str">
            <v>K1627.05.08.00</v>
          </cell>
          <cell r="F2496" t="str">
            <v>Муфта подъёма</v>
          </cell>
          <cell r="G2496">
            <v>2551.34</v>
          </cell>
          <cell r="J2496" t="str">
            <v>提升联轴器</v>
          </cell>
        </row>
        <row r="2497">
          <cell r="E2497" t="str">
            <v>K1629.07.01.00</v>
          </cell>
          <cell r="F2497" t="str">
            <v>Вертикальный вал поворота в сборе</v>
          </cell>
          <cell r="G2497">
            <v>33985.599999999999</v>
          </cell>
          <cell r="J2497" t="str">
            <v>回转立轴总成</v>
          </cell>
        </row>
        <row r="2498">
          <cell r="E2498" t="str">
            <v>K1627.07.03.02.00</v>
          </cell>
          <cell r="F2498" t="str">
            <v>Муфта двигателя поворота</v>
          </cell>
          <cell r="G2498">
            <v>1924.36</v>
          </cell>
          <cell r="J2498" t="str">
            <v>回转联轴器</v>
          </cell>
        </row>
        <row r="2499">
          <cell r="E2499" t="str">
            <v>K1629.16.03.00</v>
          </cell>
          <cell r="F2499" t="str">
            <v>Муфта двигателя хода</v>
          </cell>
          <cell r="G2499">
            <v>3844.87</v>
          </cell>
          <cell r="J2499" t="str">
            <v>行走联轴器</v>
          </cell>
        </row>
        <row r="2500">
          <cell r="E2500" t="str">
            <v>K1627.18.05.01</v>
          </cell>
          <cell r="F2500" t="str">
            <v>Ось натяжного колеса</v>
          </cell>
          <cell r="G2500">
            <v>12034.98</v>
          </cell>
          <cell r="J2500" t="str">
            <v>拉紧轴</v>
          </cell>
        </row>
        <row r="2501">
          <cell r="E2501" t="str">
            <v>K1627.18.05.02.00</v>
          </cell>
          <cell r="F2501" t="str">
            <v>Втулка в сборе</v>
          </cell>
          <cell r="G2501">
            <v>1773.03</v>
          </cell>
          <cell r="J2501" t="str">
            <v>衬套组件</v>
          </cell>
        </row>
        <row r="2502">
          <cell r="E2502" t="str">
            <v>K1630.18.05.03.00</v>
          </cell>
          <cell r="F2502" t="str">
            <v>Седло натяжного колеса</v>
          </cell>
          <cell r="G2502">
            <v>7935.8</v>
          </cell>
          <cell r="J2502" t="str">
            <v>拉紧轴座组件</v>
          </cell>
        </row>
        <row r="2503">
          <cell r="E2503" t="str">
            <v>K1630.18.01.00</v>
          </cell>
          <cell r="F2503" t="str">
            <v>Заднее опрное (направляющее) колесо в сборе</v>
          </cell>
          <cell r="G2503">
            <v>29980.9</v>
          </cell>
          <cell r="J2503" t="str">
            <v>后支轮组件</v>
          </cell>
        </row>
        <row r="2504">
          <cell r="E2504" t="str">
            <v>K1630.18.01.02</v>
          </cell>
          <cell r="F2504" t="str">
            <v>Втулка заднего направляющего колеса</v>
          </cell>
          <cell r="G2504">
            <v>724.76</v>
          </cell>
          <cell r="J2504" t="str">
            <v>后支轮套</v>
          </cell>
        </row>
        <row r="2505">
          <cell r="E2505" t="str">
            <v>K1630.18.03.00</v>
          </cell>
          <cell r="F2505" t="str">
            <v>Опорное колесо в сборе</v>
          </cell>
          <cell r="G2505">
            <v>23527.01</v>
          </cell>
          <cell r="J2505" t="str">
            <v>支轮组件</v>
          </cell>
        </row>
        <row r="2506">
          <cell r="E2506" t="str">
            <v>K1630.18.03.02</v>
          </cell>
          <cell r="F2506" t="str">
            <v>Втулка опорного колеса</v>
          </cell>
          <cell r="G2506">
            <v>391.35</v>
          </cell>
          <cell r="J2506" t="str">
            <v>支轮套</v>
          </cell>
        </row>
        <row r="2507">
          <cell r="E2507" t="str">
            <v>YF11B</v>
          </cell>
          <cell r="F2507" t="str">
            <v>Вентилятор электродвигателя напора</v>
          </cell>
          <cell r="G2507">
            <v>5879.9</v>
          </cell>
          <cell r="J2507" t="str">
            <v>推压风机</v>
          </cell>
        </row>
        <row r="2508">
          <cell r="E2508" t="str">
            <v xml:space="preserve">YL17B </v>
          </cell>
          <cell r="F2508" t="str">
            <v>Вентилятор электродвигателя подъёма</v>
          </cell>
          <cell r="G2508">
            <v>5879.9</v>
          </cell>
          <cell r="J2508" t="str">
            <v>提升风机</v>
          </cell>
        </row>
        <row r="2509">
          <cell r="E2509" t="str">
            <v>NU332ECM/C4 VA301</v>
          </cell>
          <cell r="F2509" t="str">
            <v>Подшипник со стороны привода подъемного электродвигателя</v>
          </cell>
          <cell r="G2509">
            <v>6484.34</v>
          </cell>
          <cell r="J2509" t="str">
            <v>提升电机传动端轴承</v>
          </cell>
        </row>
        <row r="2510">
          <cell r="E2510" t="str">
            <v>NJ320ECM/P64VA3091+HJ320</v>
          </cell>
          <cell r="F2510" t="str">
            <v>Подшипник со стороны непривода подъемного электродвигателя</v>
          </cell>
          <cell r="G2510">
            <v>4448.5600000000004</v>
          </cell>
          <cell r="J2510" t="str">
            <v>提升电机非传动端轴承</v>
          </cell>
        </row>
        <row r="2511">
          <cell r="E2511" t="str">
            <v>NU330ECM/C4 VA301</v>
          </cell>
          <cell r="F2511" t="str">
            <v>Подшипник со стороны привода ходового электродвигателя</v>
          </cell>
          <cell r="G2511">
            <v>6484.34</v>
          </cell>
          <cell r="J2511" t="str">
            <v>行走电机传动端轴承</v>
          </cell>
        </row>
        <row r="2512">
          <cell r="E2512" t="str">
            <v>6324M/C3 VL0241</v>
          </cell>
          <cell r="F2512" t="str">
            <v>Подшипник со стороны непривода ходового электродвигателя</v>
          </cell>
          <cell r="G2512">
            <v>4448.5600000000004</v>
          </cell>
          <cell r="J2512" t="str">
            <v>行走电机非传动端轴承</v>
          </cell>
        </row>
        <row r="2513">
          <cell r="E2513" t="str">
            <v>PD550-5KO/5K0</v>
          </cell>
          <cell r="F2513" t="str">
            <v>Потенциометр</v>
          </cell>
          <cell r="G2513">
            <v>1029.8800000000001</v>
          </cell>
          <cell r="J2513" t="str">
            <v>电位计</v>
          </cell>
        </row>
        <row r="2514">
          <cell r="E2514" t="str">
            <v>YSQKZH</v>
          </cell>
          <cell r="F2514" t="str">
            <v>Коробка управления стеклоочистителем</v>
          </cell>
          <cell r="G2514">
            <v>26.09</v>
          </cell>
          <cell r="J2514" t="str">
            <v>雨刷器控制盒</v>
          </cell>
        </row>
        <row r="2515">
          <cell r="E2515" t="str">
            <v>K1629.09.09.02.00</v>
          </cell>
          <cell r="F2515" t="str">
            <v>Пневматический цилиндр</v>
          </cell>
          <cell r="G2515">
            <v>1335.82</v>
          </cell>
          <cell r="J2515" t="str">
            <v>气缸</v>
          </cell>
        </row>
        <row r="2516">
          <cell r="E2516">
            <v>39251004</v>
          </cell>
          <cell r="F2516" t="str">
            <v xml:space="preserve">Контактор </v>
          </cell>
          <cell r="G2516">
            <v>329.56</v>
          </cell>
          <cell r="J2516" t="str">
            <v>三联接触器空压机</v>
          </cell>
        </row>
        <row r="2517">
          <cell r="E2517" t="str">
            <v xml:space="preserve"> UH-40</v>
          </cell>
          <cell r="F2517" t="str">
            <v xml:space="preserve">Гидравлический маслонасос </v>
          </cell>
          <cell r="G2517">
            <v>14747.81</v>
          </cell>
          <cell r="J2517" t="str">
            <v>油泵</v>
          </cell>
        </row>
        <row r="2518">
          <cell r="E2518" t="str">
            <v>6ES7288-0ED10-0AA0</v>
          </cell>
          <cell r="F2518" t="str">
            <v xml:space="preserve">Блок питания S7200 smart </v>
          </cell>
          <cell r="G2518">
            <v>439.41</v>
          </cell>
          <cell r="J2518" t="str">
            <v>S7200 smart 配套电源</v>
          </cell>
        </row>
        <row r="2519">
          <cell r="E2519" t="str">
            <v>6ES7288-3AE08-0AA0</v>
          </cell>
          <cell r="F2519" t="str">
            <v>Входной модуль анологовых данных</v>
          </cell>
          <cell r="G2519">
            <v>494.34</v>
          </cell>
          <cell r="J2519" t="str">
            <v>模拟量输入模块</v>
          </cell>
        </row>
        <row r="2520">
          <cell r="E2520" t="str">
            <v>6ES7288-3AR04-0AA0</v>
          </cell>
          <cell r="F2520" t="str">
            <v>Входной модуль терморезистора</v>
          </cell>
          <cell r="G2520">
            <v>1098.53</v>
          </cell>
          <cell r="J2520" t="str">
            <v>热电阻输入模块</v>
          </cell>
        </row>
        <row r="2521">
          <cell r="E2521" t="str">
            <v>6ES7288-1ST40-0AA1</v>
          </cell>
          <cell r="F2521" t="str">
            <v>ST40 Стандартный тип модули процессора</v>
          </cell>
          <cell r="G2521">
            <v>796.44</v>
          </cell>
          <cell r="J2521" t="str">
            <v xml:space="preserve">CPU模块 ST40 标准型 </v>
          </cell>
        </row>
        <row r="2522">
          <cell r="E2522" t="str">
            <v>6ES7521-1FH00-0AA0</v>
          </cell>
          <cell r="F2522" t="str">
            <v xml:space="preserve">Входной модуль DI 16x230VAC  </v>
          </cell>
          <cell r="G2522">
            <v>1029.8800000000001</v>
          </cell>
          <cell r="J2522" t="str">
            <v>DI 16x230VAC  输入模块</v>
          </cell>
        </row>
        <row r="2523">
          <cell r="E2523" t="str">
            <v>6ES7522-5HH00-0AB0</v>
          </cell>
          <cell r="F2523" t="str">
            <v>Входной модуль DO 16x230VAC</v>
          </cell>
          <cell r="G2523">
            <v>1407.5</v>
          </cell>
          <cell r="J2523" t="str">
            <v>DO 16x230VAC  输出模块</v>
          </cell>
        </row>
        <row r="2524">
          <cell r="E2524" t="str">
            <v>6ES7516-3AN02-0AB0</v>
          </cell>
          <cell r="F2524" t="str">
            <v>CPU1516 модель-3PN/DP</v>
          </cell>
          <cell r="G2524">
            <v>12633.13</v>
          </cell>
          <cell r="J2524" t="str">
            <v>CPU1516模块-3PN/DP</v>
          </cell>
        </row>
        <row r="2525">
          <cell r="E2525" t="str">
            <v>LRD-3363C</v>
          </cell>
          <cell r="F2525" t="str">
            <v>Реле перегрева</v>
          </cell>
          <cell r="G2525">
            <v>123.59</v>
          </cell>
          <cell r="J2525" t="str">
            <v>过热继电器</v>
          </cell>
        </row>
        <row r="2526">
          <cell r="E2526" t="str">
            <v xml:space="preserve">5SY6106-7  </v>
          </cell>
          <cell r="F2526" t="str">
            <v>Прерыватель</v>
          </cell>
          <cell r="G2526">
            <v>43.25</v>
          </cell>
          <cell r="J2526" t="str">
            <v>断路器</v>
          </cell>
        </row>
        <row r="2527">
          <cell r="E2527" t="str">
            <v xml:space="preserve">3RV1021-0JA15  </v>
          </cell>
          <cell r="F2527" t="str">
            <v>Прерыватель</v>
          </cell>
          <cell r="G2527">
            <v>247.17</v>
          </cell>
          <cell r="J2527" t="str">
            <v>断路器</v>
          </cell>
        </row>
        <row r="2528">
          <cell r="E2528" t="str">
            <v>6SL3352-3AG37-4AA0</v>
          </cell>
          <cell r="F2528" t="str">
            <v>Модель IPD</v>
          </cell>
          <cell r="G2528">
            <v>205.98</v>
          </cell>
          <cell r="J2528" t="str">
            <v>IPD模块􀴫</v>
          </cell>
        </row>
        <row r="2529">
          <cell r="E2529" t="str">
            <v>6SL3352-1AG37-4FA1</v>
          </cell>
          <cell r="F2529" t="str">
            <v>Модуль источника напряжения</v>
          </cell>
          <cell r="G2529">
            <v>67971.75</v>
          </cell>
          <cell r="J2529" t="str">
            <v>电源模块</v>
          </cell>
        </row>
        <row r="2530">
          <cell r="E2530" t="str">
            <v xml:space="preserve">  K8AK-PH1</v>
          </cell>
          <cell r="F2530" t="str">
            <v>Реле контроля 3-фазного напряжения</v>
          </cell>
          <cell r="G2530">
            <v>121.39</v>
          </cell>
          <cell r="J2530" t="str">
            <v>相序继电器</v>
          </cell>
        </row>
        <row r="2531">
          <cell r="E2531" t="str">
            <v>CV65M S.Nr：B22-N20-320CH</v>
          </cell>
          <cell r="F2531" t="str">
            <v>Абсолютный энкодер</v>
          </cell>
          <cell r="G2531">
            <v>823.9</v>
          </cell>
          <cell r="J2531" t="str">
            <v>绝对值编码器</v>
          </cell>
        </row>
        <row r="2532">
          <cell r="E2532" t="str">
            <v>DR-460A</v>
          </cell>
          <cell r="F2532" t="str">
            <v>Гидравлический клапан</v>
          </cell>
          <cell r="G2532">
            <v>4880.51</v>
          </cell>
          <cell r="J2532" t="str">
            <v xml:space="preserve">液动换向阀 </v>
          </cell>
        </row>
        <row r="2533">
          <cell r="E2533" t="str">
            <v>SIFN36B2.8-VP132S-4G</v>
          </cell>
          <cell r="F2533" t="str">
            <v>Электродвигатель насоса смазки редуктора подъёма</v>
          </cell>
          <cell r="G2533">
            <v>5550.89</v>
          </cell>
          <cell r="J2533" t="str">
            <v>提升油泵电机</v>
          </cell>
        </row>
        <row r="2534">
          <cell r="E2534" t="str">
            <v>ARTF5-PC0140-65A/RL</v>
          </cell>
          <cell r="F2534" t="str">
            <v>Реле потока</v>
          </cell>
          <cell r="G2534">
            <v>11390.42</v>
          </cell>
          <cell r="J2534" t="str">
            <v>齿轮流量计</v>
          </cell>
        </row>
        <row r="2535">
          <cell r="E2535" t="str">
            <v>K1626.93.01.00</v>
          </cell>
          <cell r="F2535" t="str">
            <v>Электродвигатель-насос смазки редуктора поворота</v>
          </cell>
          <cell r="G2535">
            <v>16478</v>
          </cell>
          <cell r="J2535" t="str">
            <v>回转油泵电机组件</v>
          </cell>
        </row>
        <row r="2536">
          <cell r="E2536" t="str">
            <v>ROTEX-24-St92-1b-c28-1a-Ta</v>
          </cell>
          <cell r="F2536" t="str">
            <v>Муфта маслянного насоса</v>
          </cell>
          <cell r="G2536">
            <v>535.54</v>
          </cell>
          <cell r="J2536" t="str">
            <v>油泵联轴器</v>
          </cell>
        </row>
        <row r="2537">
          <cell r="E2537" t="str">
            <v>K1626.91.01.00</v>
          </cell>
          <cell r="F2537" t="str">
            <v>Электродвигатель-насос в сборе для смазки редуктора подъёма</v>
          </cell>
          <cell r="G2537">
            <v>18125.8</v>
          </cell>
          <cell r="J2537" t="str">
            <v>提升油泵电机组件</v>
          </cell>
        </row>
        <row r="2538">
          <cell r="E2538" t="str">
            <v xml:space="preserve"> ROTEX-38St92ShA 1- 
∮19 1b- ∮40 </v>
          </cell>
          <cell r="F2538" t="str">
            <v>Муфта масляного насоса</v>
          </cell>
          <cell r="G2538">
            <v>617.92999999999995</v>
          </cell>
          <cell r="J2538" t="str">
            <v>油泵联轴器</v>
          </cell>
        </row>
        <row r="2539">
          <cell r="E2539" t="str">
            <v>LC2000/2G1SM0800304N/</v>
          </cell>
          <cell r="F2539" t="str">
            <v>Датчик уровня</v>
          </cell>
          <cell r="G2539">
            <v>4060.73</v>
          </cell>
          <cell r="J2539" t="str">
            <v>液位传感器</v>
          </cell>
        </row>
        <row r="2540">
          <cell r="E2540" t="str">
            <v>S264-C63</v>
          </cell>
          <cell r="F2540" t="str">
            <v>Прерыватель</v>
          </cell>
          <cell r="G2540">
            <v>236.18</v>
          </cell>
          <cell r="J2540" t="str">
            <v>断路器</v>
          </cell>
        </row>
        <row r="2541">
          <cell r="E2541" t="str">
            <v>DELIMON 200W/70℃</v>
          </cell>
          <cell r="F2541" t="str">
            <v>Обогреватель продувного клапана</v>
          </cell>
          <cell r="G2541">
            <v>329.56</v>
          </cell>
          <cell r="J2541" t="str">
            <v>喷射阀加热器</v>
          </cell>
        </row>
        <row r="2542">
          <cell r="E2542" t="str">
            <v>YN-63-III 0-400bar</v>
          </cell>
          <cell r="F2542" t="str">
            <v>Манометр</v>
          </cell>
          <cell r="G2542">
            <v>45.31</v>
          </cell>
          <cell r="J2542" t="str">
            <v>压力表</v>
          </cell>
        </row>
        <row r="2543">
          <cell r="E2543" t="str">
            <v>C120H D125 4P</v>
          </cell>
          <cell r="F2543" t="str">
            <v>Выключатель вентилятора кузова</v>
          </cell>
          <cell r="G2543">
            <v>186.75</v>
          </cell>
          <cell r="J2543" t="str">
            <v>系统风机断路器</v>
          </cell>
        </row>
        <row r="2544">
          <cell r="E2544" t="str">
            <v>XTFJSY</v>
          </cell>
          <cell r="F2544" t="str">
            <v>Крыльчатка вентилятора</v>
          </cell>
          <cell r="G2544">
            <v>4430.7700000000004</v>
          </cell>
          <cell r="J2544" t="str">
            <v>系统风机扇叶</v>
          </cell>
        </row>
        <row r="2545">
          <cell r="E2545" t="str">
            <v>K1601.03.15.01</v>
          </cell>
          <cell r="F2545" t="str">
            <v>Втулка K1601.03.15.01, TZ</v>
          </cell>
          <cell r="G2545">
            <v>400</v>
          </cell>
          <cell r="J2545" t="str">
            <v>套</v>
          </cell>
        </row>
        <row r="2546">
          <cell r="E2546" t="str">
            <v>K1609.09.01.01</v>
          </cell>
          <cell r="F2546" t="str">
            <v>Втулки пяты стрелы</v>
          </cell>
          <cell r="G2546">
            <v>461.53846153846155</v>
          </cell>
          <cell r="J2546" t="str">
            <v>起重臂跟脚套</v>
          </cell>
        </row>
        <row r="2547">
          <cell r="E2547" t="str">
            <v>K1822.24.20.01.00</v>
          </cell>
          <cell r="F2547" t="str">
            <v>Реверсивный клапан в сборе</v>
          </cell>
          <cell r="G2547">
            <v>4284</v>
          </cell>
          <cell r="J2547" t="str">
            <v>换向阀组件</v>
          </cell>
        </row>
        <row r="2548">
          <cell r="E2548" t="str">
            <v>RXM040W</v>
          </cell>
          <cell r="F2548" t="str">
            <v>Реле миниатюрное</v>
          </cell>
          <cell r="G2548">
            <v>2.2481234999999997</v>
          </cell>
          <cell r="J2548" t="str">
            <v>二极管</v>
          </cell>
        </row>
        <row r="2549">
          <cell r="E2549" t="str">
            <v>RXZ400</v>
          </cell>
          <cell r="F2549" t="str">
            <v>Реле миниатюрное</v>
          </cell>
          <cell r="G2549">
            <v>1</v>
          </cell>
          <cell r="J2549" t="str">
            <v>附件</v>
          </cell>
        </row>
        <row r="2550">
          <cell r="E2550" t="str">
            <v>K1812.03.21.34</v>
          </cell>
          <cell r="F2550" t="str">
            <v>Стопорное кольцо</v>
          </cell>
          <cell r="G2550">
            <v>206.72399999999999</v>
          </cell>
          <cell r="J2550" t="str">
            <v xml:space="preserve">弹性挡圈 </v>
          </cell>
        </row>
        <row r="2551">
          <cell r="E2551" t="str">
            <v>S20-A-BBS-GD-EGA4ZBG</v>
          </cell>
          <cell r="F2551" t="str">
            <v>Датчик вакуума</v>
          </cell>
          <cell r="G2551">
            <v>1019.2641666666666</v>
          </cell>
          <cell r="J2551" t="str">
            <v>真空度传感器</v>
          </cell>
        </row>
        <row r="2552">
          <cell r="E2552" t="str">
            <v>4WP6Y61B</v>
          </cell>
          <cell r="F2552" t="str">
            <v>Пневматический клапан переключения</v>
          </cell>
          <cell r="G2552">
            <v>608.68733333333319</v>
          </cell>
          <cell r="J2552" t="str">
            <v>气控换向阀</v>
          </cell>
        </row>
        <row r="2553">
          <cell r="E2553" t="str">
            <v xml:space="preserve">K1601.13.00 </v>
          </cell>
          <cell r="F2553" t="str">
            <v>Роликовый круг в сборе</v>
          </cell>
          <cell r="G2553">
            <v>93629.39</v>
          </cell>
          <cell r="J2553" t="str">
            <v>辊盘装置</v>
          </cell>
        </row>
        <row r="2554">
          <cell r="E2554" t="str">
            <v>K1605.09.01.01</v>
          </cell>
          <cell r="F2554" t="str">
            <v>Втулка</v>
          </cell>
          <cell r="G2554">
            <v>461.53846153846155</v>
          </cell>
          <cell r="J2554" t="str">
            <v>套</v>
          </cell>
        </row>
        <row r="2555">
          <cell r="E2555" t="str">
            <v>DK1626.01.01</v>
          </cell>
          <cell r="F2555" t="str">
            <v>Кольцевой токоприемник</v>
          </cell>
          <cell r="G2555">
            <v>45479</v>
          </cell>
          <cell r="J2555" t="str">
            <v>集电环</v>
          </cell>
        </row>
        <row r="2556">
          <cell r="E2556" t="str">
            <v>K1838.90.06.01</v>
          </cell>
          <cell r="F2556" t="str">
            <v>Шланг смазки в сборе</v>
          </cell>
          <cell r="G2556">
            <v>2004.8233333333333</v>
          </cell>
          <cell r="J2556" t="str">
            <v>润滑油管总成</v>
          </cell>
        </row>
        <row r="2557">
          <cell r="E2557" t="str">
            <v>K1605.09.01.02</v>
          </cell>
          <cell r="F2557" t="str">
            <v>Штифт</v>
          </cell>
          <cell r="G2557">
            <v>439.64</v>
          </cell>
          <cell r="J2557" t="str">
            <v>圆柱销</v>
          </cell>
        </row>
        <row r="2558">
          <cell r="E2558" t="str">
            <v>K1605.09.01.04</v>
          </cell>
          <cell r="F2558" t="str">
            <v>Штифт</v>
          </cell>
          <cell r="G2558">
            <v>439.64</v>
          </cell>
          <cell r="J2558" t="str">
            <v>圆柱销</v>
          </cell>
        </row>
        <row r="2559">
          <cell r="E2559" t="str">
            <v>GB/T70.1 M20x90</v>
          </cell>
          <cell r="F2559" t="str">
            <v>Винт M20x90</v>
          </cell>
          <cell r="G2559">
            <v>5.99</v>
          </cell>
          <cell r="J2559" t="str">
            <v>螺钉</v>
          </cell>
        </row>
        <row r="2560">
          <cell r="E2560" t="str">
            <v>K1605.09.01.09</v>
          </cell>
          <cell r="F2560" t="str">
            <v>Прижимная планка</v>
          </cell>
          <cell r="G2560">
            <v>99.28</v>
          </cell>
          <cell r="J2560" t="str">
            <v>环轨压板1</v>
          </cell>
        </row>
        <row r="2561">
          <cell r="E2561" t="str">
            <v>K1605.09.01.11</v>
          </cell>
          <cell r="F2561" t="str">
            <v>Прижимная планка</v>
          </cell>
          <cell r="G2561">
            <v>181.29</v>
          </cell>
          <cell r="J2561" t="str">
            <v>环轨压板2</v>
          </cell>
        </row>
        <row r="2562">
          <cell r="E2562" t="str">
            <v>GB/T70.1 M16x50</v>
          </cell>
          <cell r="F2562" t="str">
            <v>Винт M16x50</v>
          </cell>
          <cell r="G2562">
            <v>5.99</v>
          </cell>
          <cell r="J2562" t="str">
            <v>螺钉</v>
          </cell>
        </row>
        <row r="2563">
          <cell r="E2563" t="str">
            <v>GB/T95 42</v>
          </cell>
          <cell r="F2563" t="str">
            <v>Шайба 42</v>
          </cell>
          <cell r="G2563">
            <v>2.65</v>
          </cell>
          <cell r="J2563" t="str">
            <v>垫圈</v>
          </cell>
        </row>
        <row r="2564">
          <cell r="E2564" t="str">
            <v>TZB7232  M42X3</v>
          </cell>
          <cell r="F2564" t="str">
            <v>Гайка M42X3</v>
          </cell>
          <cell r="G2564">
            <v>7.18</v>
          </cell>
          <cell r="J2564" t="str">
            <v>螺母</v>
          </cell>
        </row>
        <row r="2565">
          <cell r="E2565" t="str">
            <v>GB/T5783 M8X45</v>
          </cell>
          <cell r="F2565" t="str">
            <v>Болт  M8X45</v>
          </cell>
          <cell r="G2565">
            <v>19.440000000000001</v>
          </cell>
          <cell r="J2565" t="str">
            <v>螺栓</v>
          </cell>
        </row>
        <row r="2566">
          <cell r="E2566" t="str">
            <v>K1605.09.01.06</v>
          </cell>
          <cell r="F2566" t="str">
            <v>Заслонка</v>
          </cell>
          <cell r="G2566">
            <v>14.38</v>
          </cell>
          <cell r="J2566" t="str">
            <v>挡块</v>
          </cell>
        </row>
        <row r="2567">
          <cell r="E2567" t="str">
            <v>G20E09.05-4</v>
          </cell>
          <cell r="F2567" t="str">
            <v>Опора</v>
          </cell>
          <cell r="G2567">
            <v>181.29</v>
          </cell>
          <cell r="J2567" t="str">
            <v>内侧垫板</v>
          </cell>
        </row>
        <row r="2568">
          <cell r="E2568" t="str">
            <v>G20E09.05-5</v>
          </cell>
          <cell r="F2568" t="str">
            <v>Опора</v>
          </cell>
          <cell r="G2568">
            <v>94.96</v>
          </cell>
          <cell r="J2568" t="str">
            <v>外侧垫板</v>
          </cell>
        </row>
        <row r="2569">
          <cell r="E2569" t="str">
            <v>GB/T91-2000</v>
          </cell>
          <cell r="F2569" t="str">
            <v>Шплинт</v>
          </cell>
          <cell r="G2569">
            <v>8.23</v>
          </cell>
          <cell r="J2569" t="str">
            <v>开口销</v>
          </cell>
        </row>
        <row r="2570">
          <cell r="E2570" t="str">
            <v>K1605.09.01.07</v>
          </cell>
          <cell r="F2570" t="str">
            <v>Уголок</v>
          </cell>
          <cell r="G2570">
            <v>17.526600000000002</v>
          </cell>
          <cell r="J2570" t="str">
            <v>小卡片</v>
          </cell>
        </row>
        <row r="2571">
          <cell r="E2571" t="str">
            <v>GB/T5782 M24X180</v>
          </cell>
          <cell r="F2571" t="str">
            <v>Болт M24X180</v>
          </cell>
          <cell r="G2571">
            <v>9.4374000000000002</v>
          </cell>
          <cell r="J2571" t="str">
            <v>螺栓 M24X180</v>
          </cell>
        </row>
        <row r="2572">
          <cell r="E2572" t="str">
            <v>GB/T97.1 24</v>
          </cell>
          <cell r="F2572" t="str">
            <v>Шайба 24</v>
          </cell>
          <cell r="G2572">
            <v>0.80891999999999997</v>
          </cell>
          <cell r="J2572" t="str">
            <v>垫圈24</v>
          </cell>
        </row>
        <row r="2573">
          <cell r="E2573" t="str">
            <v>JB/ZQ4351 M24</v>
          </cell>
          <cell r="F2573" t="str">
            <v>Гайка M24</v>
          </cell>
          <cell r="G2573">
            <v>6.7409999999999997</v>
          </cell>
          <cell r="J2573" t="str">
            <v>螺母24</v>
          </cell>
        </row>
        <row r="2574">
          <cell r="E2574" t="str">
            <v>K1605.09.01.08</v>
          </cell>
          <cell r="F2574" t="str">
            <v>Уголок</v>
          </cell>
          <cell r="G2574">
            <v>17.526600000000002</v>
          </cell>
          <cell r="J2574" t="str">
            <v>大卡片</v>
          </cell>
        </row>
        <row r="2575">
          <cell r="E2575" t="str">
            <v>K1605.09.01.12</v>
          </cell>
          <cell r="F2575" t="str">
            <v>Стопор</v>
          </cell>
          <cell r="G2575">
            <v>17.526600000000002</v>
          </cell>
          <cell r="J2575" t="str">
            <v>止动垫圈</v>
          </cell>
        </row>
        <row r="2576">
          <cell r="E2576" t="str">
            <v>K1838.90.06.01.00</v>
          </cell>
          <cell r="F2576" t="str">
            <v>Распределитель двухмагистральных систем (Дозирующий клапан)</v>
          </cell>
          <cell r="G2576">
            <v>4835</v>
          </cell>
          <cell r="J2576" t="str">
            <v>分配器组件</v>
          </cell>
        </row>
        <row r="2577">
          <cell r="E2577" t="str">
            <v>K1601.13.01.00（G20E15.01.02ZG）</v>
          </cell>
          <cell r="F2577" t="str">
            <v>Ролик</v>
          </cell>
          <cell r="G2577">
            <v>747.61</v>
          </cell>
          <cell r="J2577" t="str">
            <v>辊子</v>
          </cell>
        </row>
        <row r="2578">
          <cell r="E2578" t="str">
            <v>K1601.13.04（G20E15.01.03ZG）</v>
          </cell>
          <cell r="F2578" t="str">
            <v>Штифт</v>
          </cell>
          <cell r="G2578">
            <v>92.92</v>
          </cell>
          <cell r="J2578" t="str">
            <v>销</v>
          </cell>
        </row>
        <row r="2579">
          <cell r="E2579" t="str">
            <v>K1605.09.01.05（G20C0900H）</v>
          </cell>
          <cell r="F2579" t="str">
            <v>Верхний кольцевой рельс</v>
          </cell>
          <cell r="G2579">
            <v>68908</v>
          </cell>
          <cell r="J2579" t="str">
            <v>上环轨</v>
          </cell>
        </row>
        <row r="2580">
          <cell r="E2580" t="str">
            <v>K1605.09.01.09（G20E09.05-3）</v>
          </cell>
          <cell r="F2580" t="str">
            <v>Прижимная планка1</v>
          </cell>
          <cell r="G2580">
            <v>99.28</v>
          </cell>
          <cell r="J2580" t="str">
            <v>环轨压板1</v>
          </cell>
        </row>
        <row r="2581">
          <cell r="E2581" t="str">
            <v>K1605.09.01.11（G20E09.05-1）</v>
          </cell>
          <cell r="F2581" t="str">
            <v>Прижимная планка2</v>
          </cell>
          <cell r="G2581">
            <v>181.29</v>
          </cell>
          <cell r="J2581" t="str">
            <v>环轨压板2</v>
          </cell>
        </row>
        <row r="2582">
          <cell r="E2582" t="str">
            <v>K1605.17.04（G20C1700H）</v>
          </cell>
          <cell r="F2582" t="str">
            <v>Нижний кольцевой рельс</v>
          </cell>
          <cell r="G2582">
            <v>91877.64</v>
          </cell>
          <cell r="J2582" t="str">
            <v>下环轨</v>
          </cell>
        </row>
        <row r="2583">
          <cell r="E2583" t="str">
            <v>K1605.17.05（G20E17.03-1）</v>
          </cell>
          <cell r="F2583" t="str">
            <v>Опорная планка</v>
          </cell>
          <cell r="G2583">
            <v>82.12</v>
          </cell>
          <cell r="J2583" t="str">
            <v>压板</v>
          </cell>
        </row>
        <row r="2584">
          <cell r="E2584" t="str">
            <v>K1601.17.01.00（G20C2300H）</v>
          </cell>
          <cell r="F2584" t="str">
            <v>Большая шестерня поворота</v>
          </cell>
          <cell r="G2584">
            <v>371005.29</v>
          </cell>
          <cell r="J2584" t="str">
            <v>回转大齿圈</v>
          </cell>
        </row>
        <row r="2585">
          <cell r="E2585" t="str">
            <v>K1605.17.01（G20E15.2ZG）</v>
          </cell>
          <cell r="F2585" t="str">
            <v>Втулка венцевой шестерни</v>
          </cell>
          <cell r="G2585">
            <v>230.55</v>
          </cell>
          <cell r="J2585" t="str">
            <v>回转齿圈套</v>
          </cell>
        </row>
        <row r="2586">
          <cell r="E2586" t="str">
            <v>K1605.17.02（M42X300）（G20E15.1ZG）</v>
          </cell>
          <cell r="F2586" t="str">
            <v>Болт GB/T5783 M42X300</v>
          </cell>
          <cell r="G2586">
            <v>87.73</v>
          </cell>
          <cell r="J2586" t="str">
            <v>螺栓</v>
          </cell>
        </row>
        <row r="2587">
          <cell r="E2587" t="str">
            <v>GB/T95 42（GB93-85）</v>
          </cell>
          <cell r="F2587" t="str">
            <v>Шайба</v>
          </cell>
          <cell r="G2587">
            <v>2.65</v>
          </cell>
          <cell r="J2587" t="str">
            <v>垫圈</v>
          </cell>
        </row>
        <row r="2588">
          <cell r="E2588" t="str">
            <v>K1605.17.03（K1603.17.03）</v>
          </cell>
          <cell r="F2588" t="str">
            <v>Шайба</v>
          </cell>
          <cell r="G2588">
            <v>20.47</v>
          </cell>
          <cell r="J2588" t="str">
            <v>垫圈</v>
          </cell>
        </row>
        <row r="2589">
          <cell r="E2589" t="str">
            <v>TZB7232  M42X3（GB6170-86）</v>
          </cell>
          <cell r="F2589" t="str">
            <v>Гайка M56</v>
          </cell>
          <cell r="G2589">
            <v>7.18</v>
          </cell>
          <cell r="J2589" t="str">
            <v>螺母</v>
          </cell>
        </row>
        <row r="2590">
          <cell r="E2590" t="str">
            <v>K1601.13.05.00（G20E15.01.01ZG）</v>
          </cell>
          <cell r="F2590" t="str">
            <v>Поворотный круг (сепаратор роликового круга)</v>
          </cell>
          <cell r="G2590">
            <v>42443.33</v>
          </cell>
          <cell r="J2590" t="str">
            <v>辊架</v>
          </cell>
        </row>
        <row r="2591">
          <cell r="E2591" t="str">
            <v>K1601.13.00（G20C1500H）</v>
          </cell>
          <cell r="F2591" t="str">
            <v>Опорно поворотное устройство, роликовый круг</v>
          </cell>
          <cell r="G2591">
            <v>93629.39</v>
          </cell>
          <cell r="J2591" t="str">
            <v>辊盘装置</v>
          </cell>
        </row>
        <row r="2592">
          <cell r="E2592" t="str">
            <v>KHH01C-100-204</v>
          </cell>
          <cell r="F2592" t="str">
            <v>Траверса щёткодержателей</v>
          </cell>
          <cell r="G2592">
            <v>75</v>
          </cell>
          <cell r="J2592" t="str">
            <v>碳刷架支座</v>
          </cell>
        </row>
        <row r="2593">
          <cell r="E2593" t="str">
            <v>KH04-100-011</v>
          </cell>
          <cell r="F2593" t="str">
            <v>Высоковольтный изолятор</v>
          </cell>
          <cell r="G2593">
            <v>60</v>
          </cell>
          <cell r="J2593" t="str">
            <v>高压绝缘器</v>
          </cell>
        </row>
        <row r="2594">
          <cell r="E2594" t="str">
            <v>ASJ-Y/2C-1</v>
          </cell>
          <cell r="F2594" t="str">
            <v>Реле напряжения</v>
          </cell>
          <cell r="G2594">
            <v>700</v>
          </cell>
          <cell r="J2594" t="str">
            <v>电压继电器</v>
          </cell>
        </row>
        <row r="2595">
          <cell r="E2595" t="str">
            <v>ASJ-L/2C-1</v>
          </cell>
          <cell r="F2595" t="str">
            <v>Реле тока</v>
          </cell>
          <cell r="G2595">
            <v>700</v>
          </cell>
          <cell r="J2595" t="str">
            <v>电流继电器</v>
          </cell>
        </row>
        <row r="2596">
          <cell r="E2596" t="str">
            <v>RXZE2M114</v>
          </cell>
          <cell r="F2596" t="str">
            <v>Реле миниатюрной серии</v>
          </cell>
          <cell r="G2596">
            <v>5</v>
          </cell>
          <cell r="J2596" t="str">
            <v>小型继电器</v>
          </cell>
        </row>
        <row r="2597">
          <cell r="E2597" t="str">
            <v>OFAFC000GG32</v>
          </cell>
          <cell r="F2597" t="str">
            <v>Предохранитель 32A</v>
          </cell>
          <cell r="G2597">
            <v>241.96</v>
          </cell>
          <cell r="J2597" t="str">
            <v>隔离开关熔断器32A</v>
          </cell>
        </row>
        <row r="2598">
          <cell r="E2598" t="str">
            <v>NU332ECM/C4VA301</v>
          </cell>
          <cell r="F2598" t="str">
            <v>Подшипник со стороны непривода подъемного электродвигателя YJ56B1/YJ13L2</v>
          </cell>
          <cell r="G2598">
            <v>3468.3693333333331</v>
          </cell>
          <cell r="J2598" t="str">
            <v>YJ56B1/YJ13L2提升电机非传动端轴承</v>
          </cell>
        </row>
        <row r="2599">
          <cell r="E2599" t="str">
            <v>NJ320ECM/C4VA3091</v>
          </cell>
          <cell r="F2599" t="str">
            <v>Подшипник со стороны привода электродвигателя YJ56B1/YJ13L2/YJ13L4/YJ13L2</v>
          </cell>
          <cell r="G2599">
            <v>1244.0890000000002</v>
          </cell>
          <cell r="J2599" t="str">
            <v>YJ56B1/YJ13L2/YJ13L4/YJ13L2电机传动端轴承</v>
          </cell>
        </row>
        <row r="2600">
          <cell r="E2600" t="str">
            <v>NU330ECM/C4VA301</v>
          </cell>
          <cell r="F2600" t="str">
            <v>Подшипник со стороны непривода электродвигателя YJ13L4/YJ13L2/YJ13L3X1/YJ102B1</v>
          </cell>
          <cell r="G2600">
            <v>2827.4750000000004</v>
          </cell>
          <cell r="J2600" t="str">
            <v>YJ13L4/YJ13L2/YJ13L3X1/YJ102B1电机非传动端轴承</v>
          </cell>
        </row>
        <row r="2601">
          <cell r="E2601" t="str">
            <v>NU324ECM/C3VL0241</v>
          </cell>
          <cell r="F2601" t="str">
            <v>Подшипник 1 со стороны непривода поворотного электродвигателя YJ80A1/YJ109A</v>
          </cell>
          <cell r="G2601">
            <v>3920.7653333333337</v>
          </cell>
          <cell r="J2601" t="str">
            <v>YJ80A1/YJ109A回转电机非传动端轴承1</v>
          </cell>
        </row>
        <row r="2602">
          <cell r="E2602" t="str">
            <v>NU224ECM/C3</v>
          </cell>
          <cell r="F2602" t="str">
            <v>Подшипник 2 со стороны непривода поворотного электродвигателя YJ80A1/YJ109A</v>
          </cell>
          <cell r="G2602">
            <v>753.99333333333323</v>
          </cell>
          <cell r="J2602" t="str">
            <v>YJ80A1/YJ109A回转电机非传动端轴承2</v>
          </cell>
        </row>
        <row r="2603">
          <cell r="E2603" t="str">
            <v>QJ224N2MA/C3</v>
          </cell>
          <cell r="F2603" t="str">
            <v>Подшипник со стороны привода поворотного электродвигателя YJ80A1/YJ109A</v>
          </cell>
          <cell r="G2603">
            <v>980.19133333333343</v>
          </cell>
          <cell r="J2603" t="str">
            <v>YJ80A1/YJ109A回转电机传动端轴承</v>
          </cell>
        </row>
        <row r="2604">
          <cell r="E2604" t="str">
            <v>6324M/C3VL0241</v>
          </cell>
          <cell r="F2604" t="str">
            <v>Подшипник со стороны привода ходового электродвигателя YJ13L3X1/YJ102B1</v>
          </cell>
          <cell r="G2604">
            <v>4109.2636666666667</v>
          </cell>
          <cell r="J2604" t="str">
            <v>YJ13L3X1/YJ102B1行走电机传动端轴承</v>
          </cell>
        </row>
        <row r="2605">
          <cell r="E2605" t="str">
            <v>K1627.05.04</v>
          </cell>
          <cell r="F2605" t="str">
            <v>Подъёмный канат</v>
          </cell>
          <cell r="G2605">
            <v>7169.66</v>
          </cell>
          <cell r="J2605" t="str">
            <v>提升绳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C1" sqref="C1:C1048576"/>
    </sheetView>
  </sheetViews>
  <sheetFormatPr defaultRowHeight="14.5"/>
  <cols>
    <col min="1" max="1" width="28.7265625" bestFit="1" customWidth="1"/>
    <col min="2" max="2" width="43.6328125" bestFit="1" customWidth="1"/>
    <col min="3" max="3" width="28.1796875" hidden="1" customWidth="1"/>
    <col min="4" max="4" width="11.453125" customWidth="1"/>
    <col min="5" max="5" width="53" style="1" bestFit="1" customWidth="1"/>
    <col min="6" max="6" width="37.6328125" customWidth="1"/>
  </cols>
  <sheetData>
    <row r="1" spans="1:5" s="31" customFormat="1" ht="30.5" customHeight="1" thickBot="1">
      <c r="A1" s="28" t="s">
        <v>106</v>
      </c>
      <c r="B1" s="29" t="s">
        <v>107</v>
      </c>
      <c r="C1" s="29" t="s">
        <v>108</v>
      </c>
      <c r="D1" s="29" t="s">
        <v>109</v>
      </c>
      <c r="E1" s="30" t="s">
        <v>110</v>
      </c>
    </row>
    <row r="2" spans="1:5" ht="15" thickBot="1"/>
    <row r="3" spans="1:5" ht="16.5" thickBot="1">
      <c r="A3" s="17" t="s">
        <v>104</v>
      </c>
      <c r="B3" s="18" t="s">
        <v>111</v>
      </c>
      <c r="C3" s="19" t="s">
        <v>3</v>
      </c>
      <c r="D3" s="18"/>
      <c r="E3" s="20">
        <f>SUMPRODUCT(D4:D7,E4:E7)</f>
        <v>23002.5</v>
      </c>
    </row>
    <row r="4" spans="1:5">
      <c r="A4" s="26" t="s">
        <v>0</v>
      </c>
      <c r="B4" t="str">
        <f>_xlfn.XLOOKUP(A4,'[1]2023.3极地大报价单（含税率）'!$E:$E,'[1]2023.3极地大报价单（含税率）'!$F:$F,0,0)</f>
        <v>Втулка</v>
      </c>
      <c r="C4" t="str">
        <f>_xlfn.XLOOKUP(A4,'[1]2023.3极地大报价单（含税率）'!$E:$E,'[1]2023.3极地大报价单（含税率）'!$J:$J,0,0)</f>
        <v>套</v>
      </c>
      <c r="D4">
        <v>1</v>
      </c>
      <c r="E4" s="8">
        <f>_xlfn.XLOOKUP(A4,'[1]2023.3极地大报价单（含税率）'!$E:$E,'[1]2023.3极地大报价单（含税率）'!$G:$G,0,0)</f>
        <v>9444.7000000000007</v>
      </c>
    </row>
    <row r="5" spans="1:5">
      <c r="A5" s="26" t="s">
        <v>1</v>
      </c>
      <c r="B5" t="str">
        <f>_xlfn.XLOOKUP(A5,'[1]2023.3极地大报价单（含税率）'!$E:$E,'[1]2023.3极地大报价单（含税率）'!$F:$F,0,0)</f>
        <v>Втулка</v>
      </c>
      <c r="C5" t="str">
        <f>_xlfn.XLOOKUP(A5,'[1]2023.3极地大报价单（含税率）'!$E:$E,'[1]2023.3极地大报价单（含税率）'!$J:$J,0,0)</f>
        <v>套</v>
      </c>
      <c r="D5">
        <v>1</v>
      </c>
      <c r="E5" s="8">
        <f>_xlfn.XLOOKUP(A5,'[1]2023.3极地大报价单（含税率）'!$E:$E,'[1]2023.3极地大报价单（含税率）'!$G:$G,0,0)</f>
        <v>4835.04</v>
      </c>
    </row>
    <row r="6" spans="1:5">
      <c r="A6" s="27" t="s">
        <v>25</v>
      </c>
      <c r="B6" t="str">
        <f>_xlfn.XLOOKUP(A6,'[1]2023.3极地大报价单（含税率）'!$E:$E,'[1]2023.3极地大报价单（含税率）'!$F:$F,0,0)</f>
        <v>Каркасный уплотнитель</v>
      </c>
      <c r="C6" t="str">
        <f>_xlfn.XLOOKUP(A6,'[1]2023.3极地大报价单（含税率）'!$E:$E,'[1]2023.3极地大报价单（含税率）'!$J:$J,0,0)</f>
        <v>骨架油封</v>
      </c>
      <c r="D6">
        <v>4</v>
      </c>
      <c r="E6" s="8">
        <f>_xlfn.XLOOKUP(A6,'[1]2023.3极地大报价单（含税率）'!$E:$E,'[1]2023.3极地大报价单（含税率）'!$G:$G,0,0)</f>
        <v>2101.69</v>
      </c>
    </row>
    <row r="7" spans="1:5" ht="15" thickBot="1">
      <c r="A7" s="15" t="s">
        <v>2</v>
      </c>
      <c r="B7" s="16" t="str">
        <f>_xlfn.XLOOKUP(A7,'[1]2023.3极地大报价单（含税率）'!$E:$E,'[1]2023.3极地大报价单（含税率）'!$F:$F,0,0)</f>
        <v>Пружинящее упорное кольцо</v>
      </c>
      <c r="C7" s="16" t="str">
        <f>_xlfn.XLOOKUP(A7,'[1]2023.3极地大报价单（含税率）'!$E:$E,'[1]2023.3极地大报价单（含税率）'!$J:$J,0,0)</f>
        <v>弹性挡圈</v>
      </c>
      <c r="D7" s="16">
        <v>1</v>
      </c>
      <c r="E7" s="11">
        <f>_xlfn.XLOOKUP(A7,'[1]2023.3极地大报价单（含税率）'!$E:$E,'[1]2023.3极地大报价单（含税率）'!$G:$G,0,0)</f>
        <v>316</v>
      </c>
    </row>
    <row r="8" spans="1:5" ht="15" thickBot="1"/>
    <row r="9" spans="1:5" ht="16.5" thickBot="1">
      <c r="A9" s="23" t="s">
        <v>105</v>
      </c>
      <c r="B9" s="18" t="s">
        <v>112</v>
      </c>
      <c r="C9" s="19" t="s">
        <v>4</v>
      </c>
      <c r="D9" s="18">
        <v>1</v>
      </c>
      <c r="E9" s="20">
        <f>SUMPRODUCT(D10:D13,E10:E13)</f>
        <v>23144</v>
      </c>
    </row>
    <row r="10" spans="1:5" ht="16">
      <c r="A10" s="21" t="s">
        <v>5</v>
      </c>
      <c r="B10" t="str">
        <f>_xlfn.XLOOKUP(A10,'[1]2023.3极地大报价单（含税率）'!$E:$E,'[1]2023.3极地大报价单（含税率）'!$F:$F,0,0)</f>
        <v>Втулка вала механизм напора</v>
      </c>
      <c r="C10" t="str">
        <f>_xlfn.XLOOKUP(A10,'[1]2023.3极地大报价单（含税率）'!$E:$E,'[1]2023.3极地大报价单（含税率）'!$J:$J,0,0)</f>
        <v>推压铜套</v>
      </c>
      <c r="D10">
        <v>1</v>
      </c>
      <c r="E10" s="8">
        <f>_xlfn.XLOOKUP(A10,'[1]2023.3极地大报价单（含税率）'!$E:$E,'[1]2023.3极地大报价单（含税率）'!$G:$G,0,0)</f>
        <v>7834</v>
      </c>
    </row>
    <row r="11" spans="1:5" ht="16">
      <c r="A11" s="21" t="s">
        <v>7</v>
      </c>
      <c r="B11" t="str">
        <f>_xlfn.XLOOKUP(A11,'[1]2023.3极地大报价单（含税率）'!$E:$E,'[1]2023.3极地大报价单（含税率）'!$F:$F,0,0)</f>
        <v>Стакан вала напра</v>
      </c>
      <c r="C11" t="str">
        <f>_xlfn.XLOOKUP(A11,'[1]2023.3极地大报价单（含税率）'!$E:$E,'[1]2023.3极地大报价单（含税率）'!$J:$J,0,0)</f>
        <v>轴 套</v>
      </c>
      <c r="D11">
        <v>1</v>
      </c>
      <c r="E11" s="8">
        <f>_xlfn.XLOOKUP(A11,'[1]2023.3极地大报价单（含税率）'!$E:$E,'[1]2023.3极地大报价单（含税率）'!$G:$G,0,0)</f>
        <v>8124</v>
      </c>
    </row>
    <row r="12" spans="1:5" ht="16">
      <c r="A12" s="21" t="s">
        <v>6</v>
      </c>
      <c r="B12" t="str">
        <f>_xlfn.XLOOKUP(A12,'[1]2023.3极地大报价单（含税率）'!$E:$E,'[1]2023.3极地大报价单（含税率）'!$F:$F,0,0)</f>
        <v>Масляное уплотнение</v>
      </c>
      <c r="C12" t="str">
        <f>_xlfn.XLOOKUP(A12,'[1]2023.3极地大报价单（含税率）'!$E:$E,'[1]2023.3极地大报价单（含税率）'!$J:$J,0,0)</f>
        <v>骨架油封</v>
      </c>
      <c r="D12">
        <v>4</v>
      </c>
      <c r="E12" s="8">
        <f>_xlfn.XLOOKUP(A12,'[1]2023.3极地大报价单（含税率）'!$E:$E,'[1]2023.3极地大报价单（含税率）'!$G:$G,0,0)</f>
        <v>1046</v>
      </c>
    </row>
    <row r="13" spans="1:5" ht="16.5" thickBot="1">
      <c r="A13" s="22" t="s">
        <v>8</v>
      </c>
      <c r="B13" s="16" t="str">
        <f>_xlfn.XLOOKUP(A13,'[1]2023.3极地大报价单（含税率）'!$E:$E,'[1]2023.3极地大报价单（含税率）'!$F:$F,0,0)</f>
        <v>Упорная шайба</v>
      </c>
      <c r="C13" s="16" t="str">
        <f>_xlfn.XLOOKUP(A13,'[1]2023.3极地大报价单（含税率）'!$E:$E,'[1]2023.3极地大报价单（含税率）'!$J:$J,0,0)</f>
        <v>止推垫</v>
      </c>
      <c r="D13" s="16">
        <v>1</v>
      </c>
      <c r="E13" s="11">
        <f>_xlfn.XLOOKUP(A13,'[1]2023.3极地大报价单（含税率）'!$E:$E,'[1]2023.3极地大报价单（含税率）'!$G:$G,0,0)</f>
        <v>3002</v>
      </c>
    </row>
    <row r="14" spans="1:5" ht="15" thickBot="1"/>
    <row r="15" spans="1:5" ht="16.5" thickBot="1">
      <c r="A15" s="17" t="s">
        <v>103</v>
      </c>
      <c r="B15" s="18" t="s">
        <v>113</v>
      </c>
      <c r="C15" s="19" t="s">
        <v>14</v>
      </c>
      <c r="D15" s="18">
        <v>1</v>
      </c>
      <c r="E15" s="20">
        <f>SUMPRODUCT(D16:D19,E16:E19)</f>
        <v>545771.69999999995</v>
      </c>
    </row>
    <row r="16" spans="1:5" ht="16">
      <c r="A16" s="21" t="s">
        <v>102</v>
      </c>
      <c r="B16" t="str">
        <f>_xlfn.XLOOKUP(A16,'[1]2023.3极地大报价单（含税率）'!$E:$E,'[1]2023.3极地大报价单（含税率）'!$F:$F,0,0)</f>
        <v>Корпус редуктора</v>
      </c>
      <c r="C16" t="str">
        <f>_xlfn.XLOOKUP(A16,'[1]2023.3极地大报价单（含税率）'!$E:$E,'[1]2023.3极地大报价单（含税率）'!$J:$J,0,0)</f>
        <v>减速机箱体</v>
      </c>
      <c r="D16">
        <v>1</v>
      </c>
      <c r="E16" s="8">
        <f>_xlfn.XLOOKUP(A16,'[1]2023.3极地大报价单（含税率）'!$E:$E,'[1]2023.3极地大报价单（含税率）'!$G:$G,0,0)</f>
        <v>164569.60000000001</v>
      </c>
    </row>
    <row r="17" spans="1:6" ht="16">
      <c r="A17" s="21" t="s">
        <v>9</v>
      </c>
      <c r="B17" t="str">
        <f>_xlfn.XLOOKUP(A17,'[1]2023.3极地大报价单（含税率）'!$E:$E,'[1]2023.3极地大报价单（含税率）'!$F:$F,0,0)</f>
        <v>Первичный вал редуктора подъёма в сборе</v>
      </c>
      <c r="C17" t="str">
        <f>_xlfn.XLOOKUP(A17,'[1]2023.3极地大报价单（含税率）'!$E:$E,'[1]2023.3极地大报价单（含税率）'!$J:$J,0,0)</f>
        <v>第一轴装配</v>
      </c>
      <c r="D17">
        <v>2</v>
      </c>
      <c r="E17" s="8">
        <f>_xlfn.XLOOKUP(A17,'[1]2023.3极地大报价单（含税率）'!$E:$E,'[1]2023.3极地大报价单（含税率）'!$G:$G,0,0)</f>
        <v>10285</v>
      </c>
    </row>
    <row r="18" spans="1:6" ht="16">
      <c r="A18" s="21" t="s">
        <v>10</v>
      </c>
      <c r="B18" t="str">
        <f>_xlfn.XLOOKUP(A18,'[1]2023.3极地大报价单（含税率）'!$E:$E,'[1]2023.3极地大报价单（含税率）'!$F:$F,0,0)</f>
        <v>Вторичный вал редуктора подъёма в сборе</v>
      </c>
      <c r="C18" t="str">
        <f>_xlfn.XLOOKUP(A18,'[1]2023.3极地大报价单（含税率）'!$E:$E,'[1]2023.3极地大报价单（含税率）'!$J:$J,0,0)</f>
        <v>提升中间齿轮轴装配</v>
      </c>
      <c r="D18">
        <v>2</v>
      </c>
      <c r="E18" s="8">
        <f>_xlfn.XLOOKUP(A18,'[1]2023.3极地大报价单（含税率）'!$E:$E,'[1]2023.3极地大报价单（含税率）'!$G:$G,0,0)</f>
        <v>126051</v>
      </c>
    </row>
    <row r="19" spans="1:6" ht="16.5" thickBot="1">
      <c r="A19" s="22" t="s">
        <v>21</v>
      </c>
      <c r="B19" s="16" t="s">
        <v>22</v>
      </c>
      <c r="C19" s="16" t="s">
        <v>23</v>
      </c>
      <c r="D19" s="16">
        <v>1</v>
      </c>
      <c r="E19" s="11">
        <v>108530.1</v>
      </c>
    </row>
    <row r="21" spans="1:6" ht="16" hidden="1">
      <c r="A21" s="24" t="s">
        <v>13</v>
      </c>
      <c r="B21" s="25" t="s">
        <v>118</v>
      </c>
      <c r="C21" s="25"/>
      <c r="D21" s="25"/>
      <c r="E21" s="14"/>
    </row>
    <row r="22" spans="1:6" ht="72.5" hidden="1">
      <c r="A22" s="21" t="s">
        <v>19</v>
      </c>
      <c r="B22" t="s">
        <v>114</v>
      </c>
      <c r="C22" t="s">
        <v>24</v>
      </c>
      <c r="E22" s="8" t="e">
        <f ca="1">_xlfn.XLOOKUP(A22,'[1]2023.3极地大报价单（含税率）'!$E:$E,'[1]2023.3极地大报价单（含税率）'!$G:$G,0,0)</f>
        <v>#NAME?</v>
      </c>
      <c r="F22" s="31" t="s">
        <v>115</v>
      </c>
    </row>
    <row r="23" spans="1:6" ht="16" hidden="1">
      <c r="A23" s="21" t="s">
        <v>20</v>
      </c>
      <c r="B23" t="e">
        <f ca="1">_xlfn.XLOOKUP(A23,'[1]2023.3极地大报价单（含税率）'!$E:$E,'[1]2023.3极地大报价单（含税率）'!$F:$F,0,0)</f>
        <v>#NAME?</v>
      </c>
      <c r="C23" t="e">
        <f ca="1">_xlfn.XLOOKUP(A23,'[1]2023.3极地大报价单（含税率）'!$E:$E,'[1]2023.3极地大报价单（含税率）'!$J:$J,0,0)</f>
        <v>#NAME?</v>
      </c>
      <c r="E23" s="8" t="e">
        <f ca="1">_xlfn.XLOOKUP(A23,'[1]2023.3极地大报价单（含税率）'!$E:$E,'[1]2023.3极地大报价单（含税率）'!$G:$G,0,0)</f>
        <v>#NAME?</v>
      </c>
    </row>
    <row r="24" spans="1:6" ht="16" hidden="1">
      <c r="A24" s="21" t="s">
        <v>11</v>
      </c>
      <c r="B24" t="e">
        <f ca="1">_xlfn.XLOOKUP(A24,'[1]2023.3极地大报价单（含税率）'!$E:$E,'[1]2023.3极地大报价单（含税率）'!$F:$F,0,0)</f>
        <v>#NAME?</v>
      </c>
      <c r="C24" t="e">
        <f ca="1">_xlfn.XLOOKUP(A24,'[1]2023.3极地大报价单（含税率）'!$E:$E,'[1]2023.3极地大报价单（含税率）'!$J:$J,0,0)</f>
        <v>#NAME?</v>
      </c>
      <c r="E24" s="8" t="e">
        <f ca="1">_xlfn.XLOOKUP(A24,'[1]2023.3极地大报价单（含税率）'!$E:$E,'[1]2023.3极地大报价单（含税率）'!$G:$G,0,0)</f>
        <v>#NAME?</v>
      </c>
    </row>
    <row r="25" spans="1:6" ht="16.5" hidden="1" thickBot="1">
      <c r="A25" s="22" t="s">
        <v>12</v>
      </c>
      <c r="B25" s="16" t="e">
        <f ca="1">_xlfn.XLOOKUP(A25,'[1]2023.3极地大报价单（含税率）'!$E:$E,'[1]2023.3极地大报价单（含税率）'!$F:$F,0,0)</f>
        <v>#NAME?</v>
      </c>
      <c r="C25" s="16" t="e">
        <f ca="1">_xlfn.XLOOKUP(A25,'[1]2023.3极地大报价单（含税率）'!$E:$E,'[1]2023.3极地大报价单（含税率）'!$J:$J,0,0)</f>
        <v>#NAME?</v>
      </c>
      <c r="D25" s="16"/>
      <c r="E25" s="11" t="e">
        <f ca="1">_xlfn.XLOOKUP(A25,'[1]2023.3极地大报价单（含税率）'!$E:$E,'[1]2023.3极地大报价单（含税率）'!$G:$G,0,0)</f>
        <v>#NAME?</v>
      </c>
    </row>
    <row r="26" spans="1:6" ht="15" thickBot="1"/>
    <row r="27" spans="1:6" ht="16.5" thickBot="1">
      <c r="A27" s="17" t="s">
        <v>101</v>
      </c>
      <c r="B27" s="18" t="s">
        <v>116</v>
      </c>
      <c r="C27" s="19" t="s">
        <v>96</v>
      </c>
      <c r="D27" s="18">
        <v>1</v>
      </c>
      <c r="E27" s="20">
        <f>SUMPRODUCT(D28:D41,E28:E41)</f>
        <v>46578.41</v>
      </c>
    </row>
    <row r="28" spans="1:6">
      <c r="A28" s="7" t="s">
        <v>100</v>
      </c>
      <c r="B28" t="s">
        <v>57</v>
      </c>
      <c r="C28" s="2" t="s">
        <v>42</v>
      </c>
      <c r="D28" s="2">
        <v>1</v>
      </c>
      <c r="E28" s="8">
        <f>_xlfn.XLOOKUP(A28,'[1]2023.3极地大报价单（含税率）'!$E:$E,'[1]2023.3极地大报价单（含税率）'!$G:$G,0,0)</f>
        <v>27823.599999999999</v>
      </c>
    </row>
    <row r="29" spans="1:6">
      <c r="A29" s="7" t="s">
        <v>26</v>
      </c>
      <c r="B29" t="s">
        <v>44</v>
      </c>
      <c r="C29" s="2" t="s">
        <v>43</v>
      </c>
      <c r="D29" s="2">
        <v>1</v>
      </c>
      <c r="E29" s="8">
        <f>_xlfn.XLOOKUP(A29,'[1]2023.3极地大报价单（含税率）'!$E:$E,'[1]2023.3极地大报价单（含税率）'!$G:$G,0,0)</f>
        <v>5493.98</v>
      </c>
    </row>
    <row r="30" spans="1:6">
      <c r="A30" s="7" t="s">
        <v>27</v>
      </c>
      <c r="B30" t="s">
        <v>44</v>
      </c>
      <c r="C30" s="2" t="s">
        <v>45</v>
      </c>
      <c r="D30" s="2">
        <v>1</v>
      </c>
      <c r="E30" s="8">
        <f>_xlfn.XLOOKUP(A30,'[1]2023.3极地大报价单（含税率）'!$E:$E,'[1]2023.3极地大报价单（含税率）'!$G:$G,0,0)</f>
        <v>2963.04</v>
      </c>
    </row>
    <row r="31" spans="1:6">
      <c r="A31" s="7" t="s">
        <v>28</v>
      </c>
      <c r="B31" t="s">
        <v>58</v>
      </c>
      <c r="C31" s="2" t="s">
        <v>46</v>
      </c>
      <c r="D31" s="2">
        <v>2</v>
      </c>
      <c r="E31" s="8">
        <f>_xlfn.XLOOKUP(A31,'[1]2023.3极地大报价单（含税率）'!$E:$E,'[1]2023.3极地大报价单（含税率）'!$G:$G,0,0)</f>
        <v>976</v>
      </c>
    </row>
    <row r="32" spans="1:6">
      <c r="A32" s="7" t="s">
        <v>29</v>
      </c>
      <c r="B32" t="s">
        <v>58</v>
      </c>
      <c r="C32" s="2" t="s">
        <v>47</v>
      </c>
      <c r="D32" s="2">
        <v>1</v>
      </c>
      <c r="E32" s="8">
        <f>_xlfn.XLOOKUP(A32,'[1]2023.3极地大报价单（含税率）'!$E:$E,'[1]2023.3极地大报价单（含税率）'!$G:$G,0,0)</f>
        <v>1886</v>
      </c>
    </row>
    <row r="33" spans="1:5">
      <c r="A33" s="7" t="s">
        <v>30</v>
      </c>
      <c r="B33" t="s">
        <v>59</v>
      </c>
      <c r="C33" s="2" t="s">
        <v>48</v>
      </c>
      <c r="D33" s="2">
        <v>2</v>
      </c>
      <c r="E33" s="8">
        <f>_xlfn.XLOOKUP(A33,'[1]2023.3极地大报价单（含税率）'!$E:$E,'[1]2023.3极地大报价单（含税率）'!$G:$G,0,0)</f>
        <v>133.80000000000001</v>
      </c>
    </row>
    <row r="34" spans="1:5">
      <c r="A34" s="7" t="s">
        <v>31</v>
      </c>
      <c r="B34" t="s">
        <v>50</v>
      </c>
      <c r="C34" s="2" t="s">
        <v>49</v>
      </c>
      <c r="D34" s="2">
        <v>12</v>
      </c>
      <c r="E34" s="8">
        <f>_xlfn.XLOOKUP(A34,'[1]2023.3极地大报价单（含税率）'!$E:$E,'[1]2023.3极地大报价单（含税率）'!$G:$G,0,0)</f>
        <v>59.43</v>
      </c>
    </row>
    <row r="35" spans="1:5">
      <c r="A35" s="7" t="s">
        <v>33</v>
      </c>
      <c r="B35" t="s">
        <v>50</v>
      </c>
      <c r="C35" s="2" t="s">
        <v>49</v>
      </c>
      <c r="D35" s="2">
        <v>9</v>
      </c>
      <c r="E35" s="8">
        <f>_xlfn.XLOOKUP(A35,'[1]2023.3极地大报价单（含税率）'!$E:$E,'[1]2023.3极地大报价单（含税率）'!$G:$G,0,0)</f>
        <v>91.59</v>
      </c>
    </row>
    <row r="36" spans="1:5">
      <c r="A36" s="7" t="s">
        <v>34</v>
      </c>
      <c r="B36" t="s">
        <v>52</v>
      </c>
      <c r="C36" s="2" t="s">
        <v>51</v>
      </c>
      <c r="D36" s="2">
        <v>8</v>
      </c>
      <c r="E36" s="8">
        <f>_xlfn.XLOOKUP(A36,'[1]2023.3极地大报价单（含税率）'!$E:$E,'[1]2023.3极地大报价单（含税率）'!$G:$G,0,0)</f>
        <v>21</v>
      </c>
    </row>
    <row r="37" spans="1:5">
      <c r="A37" s="7" t="s">
        <v>35</v>
      </c>
      <c r="B37" t="s">
        <v>60</v>
      </c>
      <c r="C37" s="2" t="s">
        <v>53</v>
      </c>
      <c r="D37" s="2">
        <v>8</v>
      </c>
      <c r="E37" s="8">
        <f>_xlfn.XLOOKUP(A37,'[1]2023.3极地大报价单（含税率）'!$E:$E,'[1]2023.3极地大报价单（含税率）'!$G:$G,0,0)</f>
        <v>0.56999999999999995</v>
      </c>
    </row>
    <row r="38" spans="1:5">
      <c r="A38" s="7" t="s">
        <v>36</v>
      </c>
      <c r="B38" t="s">
        <v>52</v>
      </c>
      <c r="C38" s="2" t="s">
        <v>51</v>
      </c>
      <c r="D38" s="2">
        <v>8</v>
      </c>
      <c r="E38" s="8">
        <f>_xlfn.XLOOKUP(A38,'[1]2023.3极地大报价单（含税率）'!$E:$E,'[1]2023.3极地大报价单（含税率）'!$G:$G,0,0)</f>
        <v>20.39</v>
      </c>
    </row>
    <row r="39" spans="1:5">
      <c r="A39" s="7" t="s">
        <v>37</v>
      </c>
      <c r="B39" t="s">
        <v>55</v>
      </c>
      <c r="C39" s="2" t="s">
        <v>54</v>
      </c>
      <c r="D39" s="2">
        <v>8</v>
      </c>
      <c r="E39" s="8">
        <f>_xlfn.XLOOKUP(A39,'[1]2023.3极地大报价单（含税率）'!$E:$E,'[1]2023.3极地大报价单（含税率）'!$G:$G,0,0)</f>
        <v>4.0199999999999996</v>
      </c>
    </row>
    <row r="40" spans="1:5">
      <c r="A40" s="7" t="s">
        <v>38</v>
      </c>
      <c r="B40" t="s">
        <v>61</v>
      </c>
      <c r="C40" s="2" t="s">
        <v>56</v>
      </c>
      <c r="D40" s="2">
        <v>4</v>
      </c>
      <c r="E40" s="8">
        <f>_xlfn.XLOOKUP(A40,'[1]2023.3极地大报价单（含税率）'!$E:$E,'[1]2023.3极地大报价单（含税率）'!$G:$G,0,0)</f>
        <v>1.72</v>
      </c>
    </row>
    <row r="41" spans="1:5" ht="15" thickBot="1">
      <c r="A41" s="15" t="s">
        <v>74</v>
      </c>
      <c r="B41" s="16" t="s">
        <v>63</v>
      </c>
      <c r="C41" s="16" t="s">
        <v>64</v>
      </c>
      <c r="D41" s="16">
        <v>2</v>
      </c>
      <c r="E41" s="11">
        <f>_xlfn.XLOOKUP(A41,'[1]2023.3极地大报价单（含税率）'!$E:$E,'[1]2023.3极地大报价单（含税率）'!$G:$G,0,0)</f>
        <v>2140</v>
      </c>
    </row>
    <row r="42" spans="1:5" ht="15" thickBot="1"/>
    <row r="43" spans="1:5" ht="16.5" thickBot="1">
      <c r="A43" s="3" t="s">
        <v>99</v>
      </c>
      <c r="B43" s="4" t="s">
        <v>117</v>
      </c>
      <c r="C43" s="5" t="s">
        <v>97</v>
      </c>
      <c r="D43" s="4">
        <v>1</v>
      </c>
      <c r="E43" s="6">
        <f>SUMPRODUCT(D44:D59,E44:E59)</f>
        <v>56261.939999999995</v>
      </c>
    </row>
    <row r="44" spans="1:5">
      <c r="A44" s="12" t="s">
        <v>98</v>
      </c>
      <c r="B44" s="13" t="str">
        <f>_xlfn.XLOOKUP(A44,'[1]2023.3极地大报价单（含税率）'!$E:$E,'[1]2023.3极地大报价单（含税率）'!$F:$F,0,0)</f>
        <v>Седловой блок</v>
      </c>
      <c r="C44" s="13" t="str">
        <f>_xlfn.XLOOKUP(A44,'[1]2023.3极地大报价单（含税率）'!$E:$E,'[1]2023.3极地大报价单（含税率）'!$J:$J,0,0)</f>
        <v>鞍座</v>
      </c>
      <c r="D44" s="13">
        <v>1</v>
      </c>
      <c r="E44" s="14">
        <f>_xlfn.XLOOKUP(A44,'[1]2023.3极地大报价单（含税率）'!$E:$E,'[1]2023.3极地大报价单（含税率）'!$G:$G,0,0)</f>
        <v>40669.64</v>
      </c>
    </row>
    <row r="45" spans="1:5">
      <c r="A45" s="7" t="s">
        <v>15</v>
      </c>
      <c r="B45" s="2" t="str">
        <f>_xlfn.XLOOKUP(A45,'[1]2023.3极地大报价单（含税率）'!$E:$E,'[1]2023.3极地大报价单（含税率）'!$F:$F,0,0)</f>
        <v>Втулка скольжения</v>
      </c>
      <c r="C45" s="2" t="str">
        <f>_xlfn.XLOOKUP(A45,'[1]2023.3极地大报价单（含税率）'!$E:$E,'[1]2023.3极地大报价单（含税率）'!$J:$J,0,0)</f>
        <v>鞍座套</v>
      </c>
      <c r="D45" s="2">
        <v>1</v>
      </c>
      <c r="E45" s="8">
        <f>_xlfn.XLOOKUP(A45,'[1]2023.3极地大报价单（含税率）'!$E:$E,'[1]2023.3极地大报价单（含税率）'!$G:$G,0,0)</f>
        <v>2537</v>
      </c>
    </row>
    <row r="46" spans="1:5">
      <c r="A46" s="7" t="s">
        <v>16</v>
      </c>
      <c r="B46" s="2" t="str">
        <f>_xlfn.XLOOKUP(A46,'[1]2023.3极地大报价单（含税率）'!$E:$E,'[1]2023.3极地大报价单（含税率）'!$F:$F,0,0)</f>
        <v>Втулка скольжения</v>
      </c>
      <c r="C46" s="2" t="str">
        <f>_xlfn.XLOOKUP(A46,'[1]2023.3极地大报价单（含税率）'!$E:$E,'[1]2023.3极地大报价单（含税率）'!$J:$J,0,0)</f>
        <v>鞍座套</v>
      </c>
      <c r="D46" s="2">
        <v>1</v>
      </c>
      <c r="E46" s="8">
        <f>_xlfn.XLOOKUP(A46,'[1]2023.3极地大报价单（含税率）'!$E:$E,'[1]2023.3极地大报价单（含税率）'!$G:$G,0,0)</f>
        <v>2297</v>
      </c>
    </row>
    <row r="47" spans="1:5">
      <c r="A47" s="7" t="s">
        <v>17</v>
      </c>
      <c r="B47" s="2" t="str">
        <f>_xlfn.XLOOKUP(A47,'[1]2023.3极地大报价单（含税率）'!$E:$E,'[1]2023.3极地大报价单（含税率）'!$F:$F,0,0)</f>
        <v>Верхний ползун</v>
      </c>
      <c r="C47" s="2" t="str">
        <f>_xlfn.XLOOKUP(A47,'[1]2023.3极地大报价单（含税率）'!$E:$E,'[1]2023.3极地大报价单（含税率）'!$J:$J,0,0)</f>
        <v>上滑板</v>
      </c>
      <c r="D47" s="2">
        <v>2</v>
      </c>
      <c r="E47" s="8">
        <f>_xlfn.XLOOKUP(A47,'[1]2023.3极地大报价单（含税率）'!$E:$E,'[1]2023.3极地大报价单（含税率）'!$G:$G,0,0)</f>
        <v>1132</v>
      </c>
    </row>
    <row r="48" spans="1:5">
      <c r="A48" s="7" t="s">
        <v>18</v>
      </c>
      <c r="B48" s="2" t="str">
        <f>_xlfn.XLOOKUP(A48,'[1]2023.3极地大报价单（含税率）'!$E:$E,'[1]2023.3极地大报价单（含税率）'!$F:$F,0,0)</f>
        <v>Боковой ползун</v>
      </c>
      <c r="C48" s="2" t="str">
        <f>_xlfn.XLOOKUP(A48,'[1]2023.3极地大报价单（含税率）'!$E:$E,'[1]2023.3极地大报价单（含税率）'!$J:$J,0,0)</f>
        <v>侧滑板</v>
      </c>
      <c r="D48" s="2">
        <v>1</v>
      </c>
      <c r="E48" s="8">
        <f>_xlfn.XLOOKUP(A48,'[1]2023.3极地大报价单（含税率）'!$E:$E,'[1]2023.3极地大报价单（含税率）'!$G:$G,0,0)</f>
        <v>1976</v>
      </c>
    </row>
    <row r="49" spans="1:5">
      <c r="A49" s="7" t="s">
        <v>65</v>
      </c>
      <c r="B49" s="2" t="str">
        <f>_xlfn.XLOOKUP(A49,'[1]2023.3极地大报价单（含税率）'!$E:$E,'[1]2023.3极地大报价单（含税率）'!$F:$F,0,0)</f>
        <v>Опорная планка</v>
      </c>
      <c r="C49" s="2" t="str">
        <f>_xlfn.XLOOKUP(A49,'[1]2023.3极地大报价单（含税率）'!$E:$E,'[1]2023.3极地大报价单（含税率）'!$J:$J,0,0)</f>
        <v>压板</v>
      </c>
      <c r="D49" s="2">
        <v>2</v>
      </c>
      <c r="E49" s="8">
        <f>_xlfn.XLOOKUP(A49,'[1]2023.3极地大报价单（含税率）'!$E:$E,'[1]2023.3极地大报价单（含税率）'!$G:$G,0,0)</f>
        <v>121.48</v>
      </c>
    </row>
    <row r="50" spans="1:5">
      <c r="A50" s="7" t="s">
        <v>66</v>
      </c>
      <c r="B50" s="2" t="str">
        <f>_xlfn.XLOOKUP(A50,'[1]2023.3极地大报价单（含税率）'!$E:$E,'[1]2023.3极地大报价单（含税率）'!$F:$F,0,0)</f>
        <v>Прокладка</v>
      </c>
      <c r="C50" s="2" t="str">
        <f>_xlfn.XLOOKUP(A50,'[1]2023.3极地大报价单（含税率）'!$E:$E,'[1]2023.3极地大报价单（含税率）'!$J:$J,0,0)</f>
        <v>垫片</v>
      </c>
      <c r="D50" s="2">
        <v>12</v>
      </c>
      <c r="E50" s="8">
        <f>_xlfn.XLOOKUP(A50,'[1]2023.3极地大报价单（含税率）'!$E:$E,'[1]2023.3极地大报价单（含税率）'!$G:$G,0,0)</f>
        <v>36.44</v>
      </c>
    </row>
    <row r="51" spans="1:5">
      <c r="A51" s="7" t="s">
        <v>67</v>
      </c>
      <c r="B51" s="2" t="str">
        <f>_xlfn.XLOOKUP(A51,'[1]2023.3极地大报价单（含税率）'!$E:$E,'[1]2023.3极地大报价单（含税率）'!$F:$F,0,0)</f>
        <v>Прокладка</v>
      </c>
      <c r="C51" s="2" t="str">
        <f>_xlfn.XLOOKUP(A51,'[1]2023.3极地大报价单（含税率）'!$E:$E,'[1]2023.3极地大报价单（含税率）'!$J:$J,0,0)</f>
        <v>垫片</v>
      </c>
      <c r="D51" s="2">
        <v>9</v>
      </c>
      <c r="E51" s="8">
        <f>_xlfn.XLOOKUP(A51,'[1]2023.3极地大报价单（含税率）'!$E:$E,'[1]2023.3极地大报价单（含税率）'!$G:$G,0,0)</f>
        <v>55.88</v>
      </c>
    </row>
    <row r="52" spans="1:5">
      <c r="A52" s="7" t="s">
        <v>34</v>
      </c>
      <c r="B52" s="2" t="str">
        <f>_xlfn.XLOOKUP(A52,'[1]2023.3极地大报价单（含税率）'!$E:$E,'[1]2023.3极地大报价单（含税率）'!$F:$F,0,0)</f>
        <v>Болт 42X100</v>
      </c>
      <c r="C52" s="2" t="str">
        <f>_xlfn.XLOOKUP(A52,'[1]2023.3极地大报价单（含税率）'!$E:$E,'[1]2023.3极地大报价单（含税率）'!$J:$J,0,0)</f>
        <v>螺栓M42X100</v>
      </c>
      <c r="D52" s="2">
        <v>8</v>
      </c>
      <c r="E52" s="8">
        <f>_xlfn.XLOOKUP(A52,'[1]2023.3极地大报价单（含税率）'!$E:$E,'[1]2023.3极地大报价单（含税率）'!$G:$G,0,0)</f>
        <v>21</v>
      </c>
    </row>
    <row r="53" spans="1:5">
      <c r="A53" s="7" t="s">
        <v>35</v>
      </c>
      <c r="B53" s="2" t="str">
        <f>_xlfn.XLOOKUP(A53,'[1]2023.3极地大报价单（含税率）'!$E:$E,'[1]2023.3极地大报价单（含税率）'!$F:$F,0,0)</f>
        <v>Шайба 42</v>
      </c>
      <c r="C53" s="2" t="str">
        <f>_xlfn.XLOOKUP(A53,'[1]2023.3极地大报价单（含税率）'!$E:$E,'[1]2023.3极地大报价单（含税率）'!$J:$J,0,0)</f>
        <v>垫圈42</v>
      </c>
      <c r="D53" s="2">
        <v>8</v>
      </c>
      <c r="E53" s="8">
        <f>_xlfn.XLOOKUP(A53,'[1]2023.3极地大报价单（含税率）'!$E:$E,'[1]2023.3极地大报价单（含税率）'!$G:$G,0,0)</f>
        <v>0.56999999999999995</v>
      </c>
    </row>
    <row r="54" spans="1:5">
      <c r="A54" s="7" t="s">
        <v>68</v>
      </c>
      <c r="B54" s="2" t="str">
        <f>_xlfn.XLOOKUP(A54,'[1]2023.3极地大报价单（含税率）'!$E:$E,'[1]2023.3极地大报价单（含税率）'!$F:$F,0,0)</f>
        <v>Болт M42x100</v>
      </c>
      <c r="C54" s="2" t="str">
        <f>_xlfn.XLOOKUP(A54,'[1]2023.3极地大报价单（含税率）'!$E:$E,'[1]2023.3极地大报价单（含税率）'!$J:$J,0,0)</f>
        <v>螺栓 M42X100</v>
      </c>
      <c r="D54" s="2">
        <v>8</v>
      </c>
      <c r="E54" s="8">
        <f>_xlfn.XLOOKUP(A54,'[1]2023.3极地大报价单（含税率）'!$E:$E,'[1]2023.3极地大报价单（含税率）'!$G:$G,0,0)</f>
        <v>88.9</v>
      </c>
    </row>
    <row r="55" spans="1:5">
      <c r="A55" s="7" t="s">
        <v>69</v>
      </c>
      <c r="B55" s="2" t="str">
        <f>_xlfn.XLOOKUP(A55,'[1]2023.3极地大报价单（含税率）'!$E:$E,'[1]2023.3极地大报价单（含税率）'!$F:$F,0,0)</f>
        <v>Штифт 19x48</v>
      </c>
      <c r="C55" s="2" t="str">
        <f>_xlfn.XLOOKUP(A55,'[1]2023.3极地大报价单（含税率）'!$E:$E,'[1]2023.3极地大报价单（含税率）'!$J:$J,0,0)</f>
        <v>销19X48</v>
      </c>
      <c r="D55" s="2">
        <v>8</v>
      </c>
      <c r="E55" s="8">
        <f>_xlfn.XLOOKUP(A55,'[1]2023.3极地大报价单（含税率）'!$E:$E,'[1]2023.3极地大报价单（含税率）'!$G:$G,0,0)</f>
        <v>15.24</v>
      </c>
    </row>
    <row r="56" spans="1:5">
      <c r="A56" s="7" t="s">
        <v>38</v>
      </c>
      <c r="B56" s="2" t="str">
        <f>_xlfn.XLOOKUP(A56,'[1]2023.3极地大报价单（含税率）'!$E:$E,'[1]2023.3极地大报价单（含税率）'!$F:$F,0,0)</f>
        <v>Болт-пробка R3/8</v>
      </c>
      <c r="C56" s="2" t="str">
        <f>_xlfn.XLOOKUP(A56,'[1]2023.3极地大报价单（含税率）'!$E:$E,'[1]2023.3极地大报价单（含税率）'!$J:$J,0,0)</f>
        <v>螺塞</v>
      </c>
      <c r="D56" s="2">
        <v>3</v>
      </c>
      <c r="E56" s="8">
        <f>_xlfn.XLOOKUP(A56,'[1]2023.3极地大报价单（含税率）'!$E:$E,'[1]2023.3极地大报价单（含税率）'!$G:$G,0,0)</f>
        <v>1.72</v>
      </c>
    </row>
    <row r="57" spans="1:5">
      <c r="A57" s="7" t="s">
        <v>34</v>
      </c>
      <c r="B57" s="2" t="s">
        <v>92</v>
      </c>
      <c r="C57" s="2" t="s">
        <v>93</v>
      </c>
      <c r="D57" s="2">
        <v>2</v>
      </c>
      <c r="E57" s="8">
        <f>_xlfn.XLOOKUP(A57,'[1]2023.3极地大报价单（含税率）'!$E:$E,'[1]2023.3极地大报价单（含税率）'!$G:$G,0,0)</f>
        <v>21</v>
      </c>
    </row>
    <row r="58" spans="1:5">
      <c r="A58" s="7" t="s">
        <v>71</v>
      </c>
      <c r="B58" s="2" t="s">
        <v>95</v>
      </c>
      <c r="C58" s="2" t="s">
        <v>94</v>
      </c>
      <c r="D58" s="2">
        <v>2</v>
      </c>
      <c r="E58" s="8">
        <f>_xlfn.XLOOKUP(A58,'[1]2023.3极地大报价单（含税率）'!$E:$E,'[1]2023.3极地大报价单（含税率）'!$G:$G,0,0)</f>
        <v>1.1499999999999999</v>
      </c>
    </row>
    <row r="59" spans="1:5" ht="15" thickBot="1">
      <c r="A59" s="9" t="s">
        <v>62</v>
      </c>
      <c r="B59" s="10" t="str">
        <f>_xlfn.XLOOKUP(A59,'[1]2023.3极地大报价单（含税率）'!$E:$E,'[1]2023.3极地大报价单（含税率）'!$F:$F,0,0)</f>
        <v>Комплект напрвляющих роликов тросика ОДК</v>
      </c>
      <c r="C59" s="10" t="str">
        <f>_xlfn.XLOOKUP(A59,'[1]2023.3极地大报价单（含税率）'!$E:$E,'[1]2023.3极地大报价单（含税率）'!$J:$J,0,0)</f>
        <v>滑轮架组件</v>
      </c>
      <c r="D59" s="10">
        <v>2</v>
      </c>
      <c r="E59" s="11">
        <f>_xlfn.XLOOKUP(A59,'[1]2023.3极地大报价单（含税率）'!$E:$E,'[1]2023.3极地大报价单（含税率）'!$G:$G,0,0)</f>
        <v>2140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15" sqref="A15"/>
    </sheetView>
  </sheetViews>
  <sheetFormatPr defaultRowHeight="14.5"/>
  <cols>
    <col min="2" max="2" width="22.26953125" customWidth="1"/>
  </cols>
  <sheetData>
    <row r="1" spans="1:2">
      <c r="A1" s="2" t="s">
        <v>42</v>
      </c>
      <c r="B1" t="s">
        <v>57</v>
      </c>
    </row>
    <row r="2" spans="1:2">
      <c r="A2" s="2" t="s">
        <v>43</v>
      </c>
      <c r="B2" t="s">
        <v>44</v>
      </c>
    </row>
    <row r="3" spans="1:2">
      <c r="A3" s="2" t="s">
        <v>45</v>
      </c>
      <c r="B3" t="s">
        <v>44</v>
      </c>
    </row>
    <row r="4" spans="1:2">
      <c r="A4" s="2" t="s">
        <v>46</v>
      </c>
      <c r="B4" t="s">
        <v>58</v>
      </c>
    </row>
    <row r="5" spans="1:2">
      <c r="A5" s="2" t="s">
        <v>47</v>
      </c>
      <c r="B5" t="s">
        <v>58</v>
      </c>
    </row>
    <row r="6" spans="1:2">
      <c r="A6" s="2" t="s">
        <v>48</v>
      </c>
      <c r="B6" t="s">
        <v>59</v>
      </c>
    </row>
    <row r="7" spans="1:2">
      <c r="A7" s="2" t="s">
        <v>49</v>
      </c>
      <c r="B7" t="s">
        <v>50</v>
      </c>
    </row>
    <row r="8" spans="1:2">
      <c r="A8" s="2" t="s">
        <v>49</v>
      </c>
      <c r="B8" t="s">
        <v>50</v>
      </c>
    </row>
    <row r="9" spans="1:2">
      <c r="A9" s="2" t="s">
        <v>51</v>
      </c>
      <c r="B9" t="s">
        <v>52</v>
      </c>
    </row>
    <row r="10" spans="1:2">
      <c r="A10" s="2" t="s">
        <v>53</v>
      </c>
      <c r="B10" t="s">
        <v>60</v>
      </c>
    </row>
    <row r="11" spans="1:2">
      <c r="A11" s="2" t="s">
        <v>51</v>
      </c>
      <c r="B11" t="s">
        <v>52</v>
      </c>
    </row>
    <row r="12" spans="1:2">
      <c r="A12" s="2" t="s">
        <v>54</v>
      </c>
      <c r="B12" t="s">
        <v>55</v>
      </c>
    </row>
    <row r="13" spans="1:2">
      <c r="A13" s="2" t="s">
        <v>56</v>
      </c>
      <c r="B13" t="s">
        <v>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20" sqref="A20"/>
    </sheetView>
  </sheetViews>
  <sheetFormatPr defaultRowHeight="14.5"/>
  <cols>
    <col min="1" max="1" width="46.54296875" bestFit="1" customWidth="1"/>
    <col min="2" max="2" width="11.26953125" bestFit="1" customWidth="1"/>
  </cols>
  <sheetData>
    <row r="1" spans="1:3">
      <c r="A1" s="2" t="s">
        <v>75</v>
      </c>
      <c r="B1" t="s">
        <v>76</v>
      </c>
      <c r="C1" t="s">
        <v>77</v>
      </c>
    </row>
    <row r="2" spans="1:3">
      <c r="A2" s="2" t="s">
        <v>41</v>
      </c>
      <c r="B2" t="s">
        <v>44</v>
      </c>
    </row>
    <row r="3" spans="1:3">
      <c r="A3" s="2" t="s">
        <v>40</v>
      </c>
      <c r="B3" t="s">
        <v>44</v>
      </c>
    </row>
    <row r="4" spans="1:3">
      <c r="A4" s="2" t="s">
        <v>82</v>
      </c>
    </row>
    <row r="5" spans="1:3">
      <c r="A5" s="2" t="s">
        <v>82</v>
      </c>
      <c r="B5" t="s">
        <v>83</v>
      </c>
    </row>
    <row r="6" spans="1:3">
      <c r="A6" s="2" t="s">
        <v>84</v>
      </c>
      <c r="B6" t="s">
        <v>85</v>
      </c>
    </row>
    <row r="7" spans="1:3">
      <c r="A7" s="2" t="s">
        <v>32</v>
      </c>
      <c r="B7" t="s">
        <v>50</v>
      </c>
    </row>
    <row r="8" spans="1:3">
      <c r="A8" s="2" t="s">
        <v>32</v>
      </c>
      <c r="B8" t="s">
        <v>50</v>
      </c>
    </row>
    <row r="9" spans="1:3">
      <c r="A9" s="2" t="s">
        <v>86</v>
      </c>
      <c r="B9" t="s">
        <v>87</v>
      </c>
    </row>
    <row r="10" spans="1:3">
      <c r="A10" s="2" t="s">
        <v>88</v>
      </c>
      <c r="B10" t="s">
        <v>89</v>
      </c>
    </row>
    <row r="11" spans="1:3">
      <c r="A11" s="2" t="s">
        <v>90</v>
      </c>
      <c r="B11" t="s">
        <v>87</v>
      </c>
    </row>
    <row r="12" spans="1:3">
      <c r="A12" s="2" t="s">
        <v>91</v>
      </c>
      <c r="B12" t="s">
        <v>78</v>
      </c>
    </row>
    <row r="13" spans="1:3">
      <c r="A13" s="2" t="s">
        <v>39</v>
      </c>
      <c r="B13" t="s">
        <v>79</v>
      </c>
    </row>
    <row r="14" spans="1:3">
      <c r="A14" s="2" t="s">
        <v>70</v>
      </c>
      <c r="B14" t="s">
        <v>79</v>
      </c>
    </row>
    <row r="15" spans="1:3">
      <c r="A15" s="2" t="s">
        <v>72</v>
      </c>
      <c r="B15" t="s">
        <v>80</v>
      </c>
    </row>
    <row r="16" spans="1:3">
      <c r="A16" s="2" t="s">
        <v>73</v>
      </c>
      <c r="B16" t="s"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胡旭东</dc:creator>
  <cp:lastModifiedBy>Asus</cp:lastModifiedBy>
  <dcterms:created xsi:type="dcterms:W3CDTF">2015-06-05T18:19:34Z</dcterms:created>
  <dcterms:modified xsi:type="dcterms:W3CDTF">2023-05-24T10:05:27Z</dcterms:modified>
</cp:coreProperties>
</file>