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nikiforovkv\Desktop\"/>
    </mc:Choice>
  </mc:AlternateContent>
  <xr:revisionPtr revIDLastSave="0" documentId="13_ncr:1_{1DD04A59-187B-441D-9887-33F1D27B57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ип" sheetId="14" r:id="rId1"/>
    <sheet name="发票" sheetId="13" state="hidden" r:id="rId2"/>
  </sheets>
  <definedNames>
    <definedName name="_xlnm._FilterDatabase" localSheetId="0" hidden="1">зип!$A$10:$S$160</definedName>
    <definedName name="_xlnm.Print_Area" localSheetId="0">зип!$A$1:$L$175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4" l="1"/>
  <c r="S24" i="14"/>
  <c r="S25" i="14"/>
  <c r="S26" i="14"/>
  <c r="S27" i="14"/>
  <c r="S28" i="14"/>
  <c r="S29" i="14"/>
  <c r="S31" i="14"/>
  <c r="S32" i="14"/>
  <c r="S33" i="14"/>
  <c r="S34" i="14"/>
  <c r="S35" i="14"/>
  <c r="S36" i="14"/>
  <c r="S37" i="14"/>
  <c r="S38" i="14"/>
  <c r="S39" i="14"/>
  <c r="S40" i="14"/>
  <c r="S42" i="14"/>
  <c r="S46" i="14"/>
  <c r="S49" i="14"/>
  <c r="S50" i="14"/>
  <c r="S51" i="14"/>
  <c r="S52" i="14"/>
  <c r="S53" i="14"/>
  <c r="S60" i="14"/>
  <c r="S71" i="14"/>
  <c r="S72" i="14"/>
  <c r="S74" i="14"/>
  <c r="S75" i="14"/>
  <c r="S77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3" i="14"/>
  <c r="S94" i="14"/>
  <c r="S96" i="14"/>
  <c r="S98" i="14"/>
  <c r="S107" i="14"/>
  <c r="S110" i="14"/>
  <c r="S116" i="14"/>
  <c r="S120" i="14"/>
  <c r="S122" i="14"/>
  <c r="S127" i="14"/>
  <c r="S141" i="14"/>
  <c r="S154" i="14"/>
  <c r="S19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1" i="14"/>
  <c r="O160" i="14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4" i="13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 l="1"/>
  <c r="L160" i="14" s="1"/>
  <c r="L159" i="14" s="1"/>
  <c r="P160" i="14" l="1"/>
</calcChain>
</file>

<file path=xl/sharedStrings.xml><?xml version="1.0" encoding="utf-8"?>
<sst xmlns="http://schemas.openxmlformats.org/spreadsheetml/2006/main" count="1487" uniqueCount="580">
  <si>
    <t>№ п/п</t>
  </si>
  <si>
    <t>Наименование товара / Product name</t>
  </si>
  <si>
    <t>Обозначение товара / Catalog number</t>
  </si>
  <si>
    <t>Код товара</t>
  </si>
  <si>
    <t>Ед. изм./ unit of measure</t>
  </si>
  <si>
    <t>Кол-во / Quantity</t>
  </si>
  <si>
    <t>Срок поставки</t>
  </si>
  <si>
    <t>Цепь 10A</t>
  </si>
  <si>
    <t>10A</t>
  </si>
  <si>
    <t>WK-35</t>
  </si>
  <si>
    <t>шт / piece</t>
  </si>
  <si>
    <t>Китайский Юань / CNY</t>
  </si>
  <si>
    <t>Двухрядная цепь 12A</t>
  </si>
  <si>
    <t>12A</t>
  </si>
  <si>
    <t>Цепь 16A</t>
  </si>
  <si>
    <t>16A</t>
  </si>
  <si>
    <t>Вентилятор E1-E3</t>
  </si>
  <si>
    <t>6SL3362-0AG00-0AA1</t>
  </si>
  <si>
    <t>Редуктор</t>
  </si>
  <si>
    <t>HHTGYDQG-DLJT68-3002</t>
  </si>
  <si>
    <t>Ролик</t>
  </si>
  <si>
    <t>K1895.04.01.00</t>
  </si>
  <si>
    <t>Коуш тросика ОДК</t>
  </si>
  <si>
    <t>K1601.04.02</t>
  </si>
  <si>
    <t>Цепь открывания ковша</t>
  </si>
  <si>
    <t>K1844.01.10.00</t>
  </si>
  <si>
    <t>Верхний ролик стрелы</t>
  </si>
  <si>
    <t>K1856.03.10.00</t>
  </si>
  <si>
    <t>Ось головного блока</t>
  </si>
  <si>
    <t>K1856.03.10.01</t>
  </si>
  <si>
    <t>Канат вантовой системы</t>
  </si>
  <si>
    <t>K1818.03.05.00</t>
  </si>
  <si>
    <t>Тормоз механизма напора</t>
  </si>
  <si>
    <t>K1842.03.12.00</t>
  </si>
  <si>
    <t>Втулка вала механизм напора</t>
  </si>
  <si>
    <t>K1812.03.21.23</t>
  </si>
  <si>
    <t>Стакан вала напра</t>
  </si>
  <si>
    <t>K1812.03.21.25</t>
  </si>
  <si>
    <t>Масляное уплотнение</t>
  </si>
  <si>
    <t>K1812.03.21.02.00</t>
  </si>
  <si>
    <t>Стопорное кольцо</t>
  </si>
  <si>
    <t>K1812.03.21.34</t>
  </si>
  <si>
    <t>Кольцо упорное</t>
  </si>
  <si>
    <t>K1801.03.21.16</t>
  </si>
  <si>
    <t>Болт M20X50</t>
  </si>
  <si>
    <t>GB/T70.1</t>
  </si>
  <si>
    <t>Палец</t>
  </si>
  <si>
    <t>K1801.03.21.31</t>
  </si>
  <si>
    <t>Малая шестерня напора</t>
  </si>
  <si>
    <t>K1801.03.21.12</t>
  </si>
  <si>
    <t>Втулка скольжения</t>
  </si>
  <si>
    <t>K1801.03.21.01</t>
  </si>
  <si>
    <t>K1801.03.21.02</t>
  </si>
  <si>
    <t>Штифт 19x48</t>
  </si>
  <si>
    <t>K1801.03.21.09</t>
  </si>
  <si>
    <t>Кольцо уплотнительное</t>
  </si>
  <si>
    <t>K1801.03.21.24</t>
  </si>
  <si>
    <t>Вторичный вал редуктора напора</t>
  </si>
  <si>
    <t>CK1801.03.20.00</t>
  </si>
  <si>
    <t>Большая шестерня напорного вала</t>
  </si>
  <si>
    <t>CK1801.03.21.21</t>
  </si>
  <si>
    <t>Упорная шайба</t>
  </si>
  <si>
    <t>K1801.03.21.19</t>
  </si>
  <si>
    <t>Шайба 6</t>
  </si>
  <si>
    <t>GB/T93</t>
  </si>
  <si>
    <t>Прокладка</t>
  </si>
  <si>
    <t>K1859.03.21.22</t>
  </si>
  <si>
    <t>Кронштейн рычага</t>
  </si>
  <si>
    <t>K1801.04.02.00</t>
  </si>
  <si>
    <t>Первичный вал редуктора напора (cо шкивом)</t>
  </si>
  <si>
    <t>CK1895.03.11.00（+K1895.03.24.00）</t>
  </si>
  <si>
    <t>Приводной ремень механизма напора</t>
  </si>
  <si>
    <t>K1801.03.02.03</t>
  </si>
  <si>
    <t>Первичный вал редуктора подъёма</t>
  </si>
  <si>
    <t>CK1846.05.02.00</t>
  </si>
  <si>
    <t>Вторичный вал редуктора подъёма в сборе</t>
  </si>
  <si>
    <t>CK1801.05.03.00</t>
  </si>
  <si>
    <t>Вал барабана подъема</t>
  </si>
  <si>
    <t>K1830.05.05.02</t>
  </si>
  <si>
    <t>Втулка распорная</t>
  </si>
  <si>
    <t>K1801.05.05.04</t>
  </si>
  <si>
    <t>Кольцо опорное</t>
  </si>
  <si>
    <t>K1801.05.05.21</t>
  </si>
  <si>
    <t>Шестерня барабана подъёма</t>
  </si>
  <si>
    <t>CK1701.05.05.01</t>
  </si>
  <si>
    <t>Болт шестерни  подъёмного барабана</t>
  </si>
  <si>
    <t>K1830.05.05.03</t>
  </si>
  <si>
    <t>Стопорная шайба 36</t>
  </si>
  <si>
    <t>NL36</t>
  </si>
  <si>
    <t>Гайка М12</t>
  </si>
  <si>
    <t>GB/T6178</t>
  </si>
  <si>
    <t>K1801.05.05.22</t>
  </si>
  <si>
    <t>Дистанционное кольцо</t>
  </si>
  <si>
    <t>K1801.05.05.05.00</t>
  </si>
  <si>
    <t>Манжета</t>
  </si>
  <si>
    <t>K1801.05.05.04.00</t>
  </si>
  <si>
    <t>K1801.05.05.06.00</t>
  </si>
  <si>
    <t>Муфта двигателя подъема</t>
  </si>
  <si>
    <t>K1846.05.08.00</t>
  </si>
  <si>
    <t>Тормоз механизма подъёма</t>
  </si>
  <si>
    <t>K1842.05.07.00</t>
  </si>
  <si>
    <t>Поворотаный вал в сборе</t>
  </si>
  <si>
    <t>K1843.07.01.00</t>
  </si>
  <si>
    <t>Малая шестерня поворота</t>
  </si>
  <si>
    <t>K1801.07.01.01</t>
  </si>
  <si>
    <t>Редуктор механизма поворота</t>
  </si>
  <si>
    <t>CK1858.07.02.00</t>
  </si>
  <si>
    <t>Тормоз механизма поворота</t>
  </si>
  <si>
    <t>K1842.07.03.03.00</t>
  </si>
  <si>
    <t>Муфта двигателя поворота</t>
  </si>
  <si>
    <t>K1801.07.03.02.00</t>
  </si>
  <si>
    <t>Соединительная муфта</t>
  </si>
  <si>
    <t>K1801.16.03.00</t>
  </si>
  <si>
    <t>Тормоз механизма хода</t>
  </si>
  <si>
    <t>K1842.16.05.00</t>
  </si>
  <si>
    <t>Ось натяжного колеса</t>
  </si>
  <si>
    <t>K1801.18.05.05</t>
  </si>
  <si>
    <t>Втулка</t>
  </si>
  <si>
    <t>K1801.18.05.02</t>
  </si>
  <si>
    <t>Опора оси колеса</t>
  </si>
  <si>
    <t>K1801.18.05.01.00</t>
  </si>
  <si>
    <t>K1801.18.05.02.00</t>
  </si>
  <si>
    <t>K1801.18.01.02</t>
  </si>
  <si>
    <t>Штифт стопорный</t>
  </si>
  <si>
    <t>K1843.18.01.05</t>
  </si>
  <si>
    <t>Упорное кольцо</t>
  </si>
  <si>
    <t>K1801.18.01.03</t>
  </si>
  <si>
    <t>Ось опорного катка</t>
  </si>
  <si>
    <t>K1801.18.03.03</t>
  </si>
  <si>
    <t>K1801.18.03.02</t>
  </si>
  <si>
    <t>Манжета уплотнительная</t>
  </si>
  <si>
    <t>K1801.18.03.07</t>
  </si>
  <si>
    <t>Вентилятор</t>
  </si>
  <si>
    <t>K1838.22.02</t>
  </si>
  <si>
    <t>Замок двери</t>
  </si>
  <si>
    <t>K1902.09.10.10.03.00</t>
  </si>
  <si>
    <t>вентилятор</t>
  </si>
  <si>
    <t>YF17B</t>
  </si>
  <si>
    <t>YF17C</t>
  </si>
  <si>
    <t>Вентилятор электродвигателя напора</t>
  </si>
  <si>
    <t>YL15</t>
  </si>
  <si>
    <t>YF17A</t>
  </si>
  <si>
    <t xml:space="preserve">Электродвигатель напора 400 кВт  </t>
  </si>
  <si>
    <t>YJ13L2</t>
  </si>
  <si>
    <t xml:space="preserve">Электродвигатель подъёма 700кВт  </t>
  </si>
  <si>
    <t>YJ108A</t>
  </si>
  <si>
    <t>Кольцо переднее внутреннее стопорное</t>
  </si>
  <si>
    <t>83D3700066</t>
  </si>
  <si>
    <t>Кольцо внутреннее стопорное</t>
  </si>
  <si>
    <t>84D3700112</t>
  </si>
  <si>
    <t>Кольцо переднее внешнее стопорное</t>
  </si>
  <si>
    <t>83D3700222</t>
  </si>
  <si>
    <t>Кольцо заднее стопорное</t>
  </si>
  <si>
    <t>83D3700014</t>
  </si>
  <si>
    <t>84D3700157</t>
  </si>
  <si>
    <t>Кольцо заднее внешнее стопорное</t>
  </si>
  <si>
    <t>84D3700062</t>
  </si>
  <si>
    <t>Кольцо заднее внутреннее стопорное</t>
  </si>
  <si>
    <t>84D3700061</t>
  </si>
  <si>
    <t>Кольцо переднее стопорное</t>
  </si>
  <si>
    <t>84D3700060</t>
  </si>
  <si>
    <t>Планетарный редуктор хода</t>
  </si>
  <si>
    <t>CK1846.16.01.00</t>
  </si>
  <si>
    <t>Нагревательный прибор</t>
  </si>
  <si>
    <t>Вентилятор нагревателя</t>
  </si>
  <si>
    <t>Контактор</t>
  </si>
  <si>
    <t>3RT5076-6AP36</t>
  </si>
  <si>
    <t>Прожекторная лампа</t>
  </si>
  <si>
    <t>NTC9280-200</t>
  </si>
  <si>
    <t>Зарядный резистор</t>
  </si>
  <si>
    <t>6SL3000-0KH14-0AA0</t>
  </si>
  <si>
    <t>Включатель</t>
  </si>
  <si>
    <t>3RT2037-1AL20</t>
  </si>
  <si>
    <t>Вакуумный контактор</t>
  </si>
  <si>
    <t>JCZ5-12/D630-6.3(TZK)</t>
  </si>
  <si>
    <t>кузовная лампа</t>
  </si>
  <si>
    <t>NFC9186-70W</t>
  </si>
  <si>
    <t>Предохранитель шины</t>
  </si>
  <si>
    <t>3NE3337-8</t>
  </si>
  <si>
    <t>Аварийная лампа</t>
  </si>
  <si>
    <t>NFE9121A-T1</t>
  </si>
  <si>
    <t>LC1-D65AM7C</t>
  </si>
  <si>
    <t>Лампа LED платформы</t>
  </si>
  <si>
    <t>NFC9186A</t>
  </si>
  <si>
    <t>Датчик температуры</t>
  </si>
  <si>
    <t>TA3020/C-50-120/242G12MH050D6</t>
  </si>
  <si>
    <t>Прерыватель</t>
  </si>
  <si>
    <t>3RV5031-4DA10</t>
  </si>
  <si>
    <t>Выключатель</t>
  </si>
  <si>
    <t>Автоматический выключатель</t>
  </si>
  <si>
    <t>iC65N-D 63A/4P</t>
  </si>
  <si>
    <t>Реле управления</t>
  </si>
  <si>
    <t>CAD-32M7C</t>
  </si>
  <si>
    <t>3RT6015-1AN21</t>
  </si>
  <si>
    <t xml:space="preserve">Контактор </t>
  </si>
  <si>
    <t xml:space="preserve">LC1-D38M7C </t>
  </si>
  <si>
    <t>iC65N-D 40A/3P</t>
  </si>
  <si>
    <t>5SY61067CC</t>
  </si>
  <si>
    <t>iC65N-D 20A/1P</t>
  </si>
  <si>
    <t>iC65N-D 32A/2P</t>
  </si>
  <si>
    <t>Тепловое реле</t>
  </si>
  <si>
    <t>LRD-3363C</t>
  </si>
  <si>
    <t>iC65N-C 32A/1P</t>
  </si>
  <si>
    <t>iC65N-D 10A/1P</t>
  </si>
  <si>
    <t>5SY61107CC</t>
  </si>
  <si>
    <t>S264-C63</t>
  </si>
  <si>
    <t>Электро-магнитный клапан</t>
  </si>
  <si>
    <t>Клапан продувной в сборе</t>
  </si>
  <si>
    <t>SDU04A00H00</t>
  </si>
  <si>
    <t>Обогреватель продувного клапана</t>
  </si>
  <si>
    <t>66943-1911</t>
  </si>
  <si>
    <t>Пневматический насос1904</t>
  </si>
  <si>
    <t>Насос смазочный</t>
  </si>
  <si>
    <t>K1842.91.01.00</t>
  </si>
  <si>
    <t>K1857.93.01.00</t>
  </si>
  <si>
    <t>Гидравлический клапан</t>
  </si>
  <si>
    <t>DR460A</t>
  </si>
  <si>
    <t>DR460B</t>
  </si>
  <si>
    <t>Электромагнитный клапан переключения-пневматический</t>
  </si>
  <si>
    <t>Быстродействующий воздушно-разгрузочный клапан</t>
  </si>
  <si>
    <t>R431003042</t>
  </si>
  <si>
    <t>Адаптер</t>
  </si>
  <si>
    <t>K1838.92.04.00</t>
  </si>
  <si>
    <t>Редукционный клапан</t>
  </si>
  <si>
    <t>Манометр</t>
  </si>
  <si>
    <t>233.50/100 G1/2 0-16bar</t>
  </si>
  <si>
    <t>Пневматический цилиндр</t>
  </si>
  <si>
    <t>K1706.09.08.02.00</t>
  </si>
  <si>
    <t>K1842.92.01.03</t>
  </si>
  <si>
    <t>Дренажный клапан</t>
  </si>
  <si>
    <t>MIC-A-Rc1/2-AC220V50Hz</t>
  </si>
  <si>
    <t>Блок впускного клапана</t>
  </si>
  <si>
    <t xml:space="preserve">Клапан </t>
  </si>
  <si>
    <t>Приводной ремень</t>
  </si>
  <si>
    <t xml:space="preserve">Контактор компрессора </t>
  </si>
  <si>
    <t>Блок клапана управления температурой</t>
  </si>
  <si>
    <t>Пластина гусеничной ленты</t>
  </si>
  <si>
    <t>K1812.18.04.01</t>
  </si>
  <si>
    <t>Штифт гусеничной ленты</t>
  </si>
  <si>
    <t>K1812.18.04.02</t>
  </si>
  <si>
    <t>Болт M60x2</t>
  </si>
  <si>
    <t>K1843.05.05.16</t>
  </si>
  <si>
    <t>Гайка M60X2</t>
  </si>
  <si>
    <t>K1843.05.05.17</t>
  </si>
  <si>
    <t>Шпилька</t>
  </si>
  <si>
    <t>CK1846.05.04.02</t>
  </si>
  <si>
    <t>Гайка М56X4</t>
  </si>
  <si>
    <t>CK1846.05.04.03</t>
  </si>
  <si>
    <t>Болт М30X2X120</t>
  </si>
  <si>
    <t>GB/T5785</t>
  </si>
  <si>
    <t>Гайка М20X2</t>
  </si>
  <si>
    <t>GB/T6171</t>
  </si>
  <si>
    <t>Разделительный трансформатор 8KVA</t>
  </si>
  <si>
    <t>Высоковольтный предохранитель</t>
  </si>
  <si>
    <t>SFLNJ-12KV/50</t>
  </si>
  <si>
    <t>IC65N C10A 2P</t>
  </si>
  <si>
    <t>LC1-D32M7C</t>
  </si>
  <si>
    <t>ИТОГО на условиях DDP Иркутская область, пос. Кропоткин, производственная площадка «Сухой лог» (Инкотермс 2020)</t>
  </si>
  <si>
    <t>ПОКУПАТЕЛЬ:</t>
  </si>
  <si>
    <t>ПРОДАВЕЦ:</t>
  </si>
  <si>
    <t>ООО "Полюс Сухой Лог"</t>
  </si>
  <si>
    <t>По доверенности №2091/Д-ПСЛ/26 от 09.02.2026</t>
  </si>
  <si>
    <t>_______________________ /Зайцева И.И./</t>
  </si>
  <si>
    <r>
      <rPr>
        <b/>
        <sz val="16"/>
        <rFont val="微软雅黑"/>
        <family val="2"/>
        <charset val="134"/>
      </rPr>
      <t xml:space="preserve">          </t>
    </r>
    <r>
      <rPr>
        <b/>
        <sz val="16"/>
        <rFont val="Arial"/>
        <family val="2"/>
      </rPr>
      <t>Спецификация ЗИП / Specification of spares and tools</t>
    </r>
  </si>
  <si>
    <r>
      <t xml:space="preserve">Приложение к проформа-инвойсу </t>
    </r>
    <r>
      <rPr>
        <b/>
        <sz val="11"/>
        <rFont val="Segoe UI Symbol"/>
        <family val="2"/>
      </rPr>
      <t>№KTJQ24001</t>
    </r>
  </si>
  <si>
    <t>Обозначение товара по каталогу производителя / Catalog number</t>
  </si>
  <si>
    <r>
      <t xml:space="preserve">Цена за единицу  / Price per unit </t>
    </r>
    <r>
      <rPr>
        <b/>
        <sz val="10"/>
        <rFont val="等线"/>
        <charset val="134"/>
      </rPr>
      <t>(CNY)</t>
    </r>
  </si>
  <si>
    <t>Стоимость / Amount  (CNY)</t>
  </si>
  <si>
    <t>Ось</t>
  </si>
  <si>
    <t>K1602.03.10.01</t>
  </si>
  <si>
    <t>Подшипник головных блоков</t>
  </si>
  <si>
    <t>K1602.03.10.03</t>
  </si>
  <si>
    <t>Первичный вал редуктора напора</t>
  </si>
  <si>
    <t>CK1629.03.11.00</t>
  </si>
  <si>
    <t>Шкив ременной передачи</t>
  </si>
  <si>
    <t>K1629.03.24.00</t>
  </si>
  <si>
    <t>CK1601.03.20.00</t>
  </si>
  <si>
    <t>Бронзовая втулка напорного вала</t>
  </si>
  <si>
    <t>K1630.03.21.21</t>
  </si>
  <si>
    <t>K1625.03.21.19</t>
  </si>
  <si>
    <t>K1627.03.21.17</t>
  </si>
  <si>
    <t>Каркасный уплотнитель</t>
  </si>
  <si>
    <t>K1625.03.21.05.00</t>
  </si>
  <si>
    <t>Уплотнительное кольцо в форме О</t>
  </si>
  <si>
    <t>K1625.03.21.29</t>
  </si>
  <si>
    <t>Пружинящее упорное кольцо</t>
  </si>
  <si>
    <t>K1625.03.21.15</t>
  </si>
  <si>
    <t>Штифт</t>
  </si>
  <si>
    <t>K1625.03.21.26</t>
  </si>
  <si>
    <t>Уплотнительное кольцо</t>
  </si>
  <si>
    <t>K1625.03.21.22</t>
  </si>
  <si>
    <t>K1625.03.21.23</t>
  </si>
  <si>
    <t>Влутка (внутри седла)</t>
  </si>
  <si>
    <t>K1630.03.21.01</t>
  </si>
  <si>
    <t>Влутка (снаружи седла)</t>
  </si>
  <si>
    <t>K1630.03.21.02</t>
  </si>
  <si>
    <t>Штифт19X38</t>
  </si>
  <si>
    <t>K1625.03.21.09</t>
  </si>
  <si>
    <t>Кремальерная шестерня напора</t>
  </si>
  <si>
    <t>K1627.03.21.12.00</t>
  </si>
  <si>
    <t>Телескопическая труба</t>
  </si>
  <si>
    <t>K1627.03.18.01</t>
  </si>
  <si>
    <t xml:space="preserve">Установка механизма открывания днища ковша </t>
  </si>
  <si>
    <t>K1845.04.03.00</t>
  </si>
  <si>
    <t>Рычаг засова ковша</t>
  </si>
  <si>
    <t>K1639.04.02.00</t>
  </si>
  <si>
    <t>Первичный вал редуктора подъёма в сборе</t>
  </si>
  <si>
    <t>CK1627.05.04.01.00</t>
  </si>
  <si>
    <t>CK1627.05.04.04.00</t>
  </si>
  <si>
    <t>Уплотнительное кольцо в форме V</t>
  </si>
  <si>
    <t>K1604.05.01</t>
  </si>
  <si>
    <t>K1604.05.02</t>
  </si>
  <si>
    <t>Кольцо разделительное</t>
  </si>
  <si>
    <t>K1602.05.03</t>
  </si>
  <si>
    <t>Муфта подъёма</t>
  </si>
  <si>
    <t>K1627.05.08.00</t>
  </si>
  <si>
    <t>Вертикальный вал поворота в сборе</t>
  </si>
  <si>
    <t>K1629.07.01.00</t>
  </si>
  <si>
    <t>K1627.07.03.02.00</t>
  </si>
  <si>
    <t>Штифт балансировочного блока вантовых канатов</t>
  </si>
  <si>
    <t>K1623.10.07.00</t>
  </si>
  <si>
    <t>Муфта двигателя хода</t>
  </si>
  <si>
    <t>K1629.16.03.00</t>
  </si>
  <si>
    <t>K1627.18.05.01</t>
  </si>
  <si>
    <t>Втулка в сборе</t>
  </si>
  <si>
    <t>K1627.18.05.02.00</t>
  </si>
  <si>
    <t>Седло натяжного колеса</t>
  </si>
  <si>
    <t>K1630.18.05.03.00</t>
  </si>
  <si>
    <t>K1630.18.05.04.00</t>
  </si>
  <si>
    <t>Заднее опрное (направляющее) колесо в сборе</t>
  </si>
  <si>
    <t>K1630.18.01.00</t>
  </si>
  <si>
    <t>Вал</t>
  </si>
  <si>
    <t>K1605.18.01.03</t>
  </si>
  <si>
    <t>Втулка заднего направляющего колеса</t>
  </si>
  <si>
    <t>K1630.18.01.02</t>
  </si>
  <si>
    <t>Шайба</t>
  </si>
  <si>
    <t>K1605.18.01.06</t>
  </si>
  <si>
    <t>K1605.18.01.07</t>
  </si>
  <si>
    <t>Опорное колесо в сборе</t>
  </si>
  <si>
    <t>K1630.18.03.00</t>
  </si>
  <si>
    <t>Вал опорного колеса</t>
  </si>
  <si>
    <t>K1605.18.03.03</t>
  </si>
  <si>
    <t>Втулка опорного колеса</t>
  </si>
  <si>
    <t>K1630.18.03.02</t>
  </si>
  <si>
    <t>K1605.18.03.05</t>
  </si>
  <si>
    <t>K1605.18.03.07</t>
  </si>
  <si>
    <t>K1605.18.04.01</t>
  </si>
  <si>
    <t>K1605.18.04.02</t>
  </si>
  <si>
    <t>Опора гусеничного полотна (башмак)</t>
  </si>
  <si>
    <t>K1605.18.09.01</t>
  </si>
  <si>
    <t>Опора гусеничной ленты передняя (передний "башмак")</t>
  </si>
  <si>
    <t>K1629.18.10.01</t>
  </si>
  <si>
    <t>K1623.22.09</t>
  </si>
  <si>
    <t>Дверной замок</t>
  </si>
  <si>
    <t>YL11B</t>
  </si>
  <si>
    <t>Подшипник со стороны привода подъемного электродвигателя</t>
  </si>
  <si>
    <t>NU332ECM/C4 VA301</t>
  </si>
  <si>
    <t>Вентилятор электродвигателя подъёма</t>
  </si>
  <si>
    <t>Вентилятор электродвигателя поворота</t>
  </si>
  <si>
    <t>Подшипник со стороны привода ходового электродвигателя</t>
  </si>
  <si>
    <t>NU330ECM/C4 VA301</t>
  </si>
  <si>
    <t>Вентилятор электродвигателя хода</t>
  </si>
  <si>
    <t>Левый джойстик</t>
  </si>
  <si>
    <t>VNSO 1211AK VRUGN 4.8P1.1+1XPQ55</t>
  </si>
  <si>
    <t>Правый джойстик</t>
  </si>
  <si>
    <t>VNSO 1211AK VRUGN 4.8P1.10P+2XPQ55</t>
  </si>
  <si>
    <t>Потенциометр</t>
  </si>
  <si>
    <t>PD550-5K0/5K0</t>
  </si>
  <si>
    <t>Коробка управления стеклоочистителем</t>
  </si>
  <si>
    <t>XRKZ002-24</t>
  </si>
  <si>
    <t>Контроллер управления</t>
  </si>
  <si>
    <t>Электромагнитный клапан</t>
  </si>
  <si>
    <t>233.50/100G1/2</t>
  </si>
  <si>
    <t>K1629.09.09.02.00</t>
  </si>
  <si>
    <t xml:space="preserve">Электромагнитный клапан </t>
  </si>
  <si>
    <t xml:space="preserve">Головка пневматического насоса </t>
  </si>
  <si>
    <t xml:space="preserve">Гидравлический маслонасос </t>
  </si>
  <si>
    <t xml:space="preserve"> UH-40</t>
  </si>
  <si>
    <t>Предохранитель</t>
  </si>
  <si>
    <t>3NE3334-0B</t>
  </si>
  <si>
    <t>Быстроплавкий предохранитель</t>
  </si>
  <si>
    <t>Контактор-K4</t>
  </si>
  <si>
    <t>3RT5044-1AN20</t>
  </si>
  <si>
    <t>Трансформатр тока</t>
  </si>
  <si>
    <t>Муфта</t>
  </si>
  <si>
    <t>9408N/10-10</t>
  </si>
  <si>
    <t>Стабилизированный блок питания</t>
  </si>
  <si>
    <t>6EP1333-4BA00</t>
  </si>
  <si>
    <t>T24 питания</t>
  </si>
  <si>
    <t>QUINT-PS/1AC/24DC/20A</t>
  </si>
  <si>
    <t>Сопротивление R11、R13、R15</t>
  </si>
  <si>
    <t>Модуль датчика SMC30</t>
  </si>
  <si>
    <t>6SL3055-0AA00-5CA2</t>
  </si>
  <si>
    <t>CIM</t>
  </si>
  <si>
    <t>6SL3350-6TK00-0EA0</t>
  </si>
  <si>
    <t>Модуль источника напряжения</t>
  </si>
  <si>
    <t>6SL3352-1AG37-4FA1</t>
  </si>
  <si>
    <t>Модуль источника тока(1000KW)</t>
  </si>
  <si>
    <t>6SL3352-1AG41-0FA1</t>
  </si>
  <si>
    <t>Ограничитель вертикальной лестницы</t>
  </si>
  <si>
    <t>8LS3-J</t>
  </si>
  <si>
    <t>Реле контроля 3-фазного напряжения</t>
  </si>
  <si>
    <t xml:space="preserve">  K8AK-PH1</t>
  </si>
  <si>
    <t>Абсолютный энкодер</t>
  </si>
  <si>
    <t>CV65M S.Nr：B22-N20-320CH</t>
  </si>
  <si>
    <t>Распределитель двухмагистральных систем (Дозирующий клапан)</t>
  </si>
  <si>
    <t>DM54-100</t>
  </si>
  <si>
    <t>Электродвигатель насоса смазки редуктора подъёма</t>
  </si>
  <si>
    <t>SIFN36B2.8-VP132S-4G</t>
  </si>
  <si>
    <t>Реле потока</t>
  </si>
  <si>
    <t>ARTF5-PC0140-65A/RL</t>
  </si>
  <si>
    <t>Воздуховод</t>
  </si>
  <si>
    <t>H01060012/8-8FJX/8-8FJX/1000</t>
  </si>
  <si>
    <t>H01060012/8-8FJX/8-8FJX/2500</t>
  </si>
  <si>
    <t>H01060012/8-8FJX/8-8FJX/3500</t>
  </si>
  <si>
    <t>Электро-магнитный клапан для устройста пылеудаления</t>
  </si>
  <si>
    <t>K1627.22.02.01.03.01</t>
  </si>
  <si>
    <t>Электродвигатель-насос смазки редуктора поворота</t>
  </si>
  <si>
    <t>K1626.93.01.00</t>
  </si>
  <si>
    <t>ROTEX24 соединительная муфта</t>
  </si>
  <si>
    <t>ROTEX-24-St92-1b-∮28-1a-Ta</t>
  </si>
  <si>
    <t>Вращающееся масленно-воздушное соединение (вертлюг)</t>
  </si>
  <si>
    <t>K1637.92.04.00</t>
  </si>
  <si>
    <t>Электродвигатель-насос в сборе для смазки редуктора подъёма</t>
  </si>
  <si>
    <t>K1626.91.01.00</t>
  </si>
  <si>
    <t>Муфта масляного насоса</t>
  </si>
  <si>
    <t xml:space="preserve"> ROTEX-38St92ShA 1- 
∮19 1b- ∮40 </t>
  </si>
  <si>
    <t>Датчик перемещения</t>
  </si>
  <si>
    <t>K1842.90.01.02</t>
  </si>
  <si>
    <t>Маслораспылитель</t>
  </si>
  <si>
    <t>Реле давления</t>
  </si>
  <si>
    <t>EDS344-2-016-000</t>
  </si>
  <si>
    <t>YN-63-Ⅲ 0-1.6MPa</t>
  </si>
  <si>
    <t>Итого, на условиях FOB порт Тяньцзинь, Тяньцзинь, Китай / Total on terms FOB Tianjin Port, Tianjin, China:</t>
  </si>
  <si>
    <t>ИТОГО на условиях FOB порт Тяньцзинь, Тяньцзинь, Китай (Инкотермс 2010)/</t>
  </si>
  <si>
    <t>TOTAL on terms FOB Tianjin Port, Tianjin, China (Incoterms 2010)</t>
  </si>
  <si>
    <t>K1842.92.01.03</t>
    <phoneticPr fontId="25" type="noConversion"/>
  </si>
  <si>
    <t>NTC9280-200</t>
    <phoneticPr fontId="25" type="noConversion"/>
  </si>
  <si>
    <t>KZN030C-B</t>
  </si>
  <si>
    <t>TZ ZG-3A.</t>
  </si>
  <si>
    <t>TZ ZG-3A.</t>
    <phoneticPr fontId="25" type="noConversion"/>
  </si>
  <si>
    <t>LRD-5130</t>
    <phoneticPr fontId="25" type="noConversion"/>
  </si>
  <si>
    <t>KEV224B-20</t>
    <phoneticPr fontId="25" type="noConversion"/>
  </si>
  <si>
    <t>WK38008A</t>
    <phoneticPr fontId="25" type="noConversion"/>
  </si>
  <si>
    <t>K1801.03.21.21</t>
  </si>
  <si>
    <t>K1801.03.20.00</t>
  </si>
  <si>
    <t>K1895.03.11.00-SH</t>
  </si>
  <si>
    <t>K1846.05.02.00</t>
  </si>
  <si>
    <t>K1801.05.03.00</t>
  </si>
  <si>
    <t>K1701.05.05.01</t>
  </si>
  <si>
    <t>K1846.16.01.00</t>
  </si>
  <si>
    <t>LC1-D38M7C</t>
  </si>
  <si>
    <t>SFLNJ-12KV/50A</t>
  </si>
  <si>
    <t>ПРИЛОЖЕНИЕ № 1</t>
  </si>
  <si>
    <t>к Дополнительному Соглашению №1 от ________ г.</t>
  </si>
  <si>
    <t>К Контракту №ПСЛ313-26 от 28.05.26г.</t>
  </si>
  <si>
    <t>ВСЕГО без НДС</t>
  </si>
  <si>
    <t>НДС (22%)</t>
  </si>
  <si>
    <t>ИТОГО с НДС</t>
  </si>
  <si>
    <t>АО "Огунвей"</t>
  </si>
  <si>
    <t>_______________________ /Попов В.В. /</t>
  </si>
  <si>
    <t xml:space="preserve">Наименование товара </t>
  </si>
  <si>
    <t xml:space="preserve">Обозначение товара </t>
  </si>
  <si>
    <t xml:space="preserve">Модель экскаватора </t>
  </si>
  <si>
    <t>Ед. изм.</t>
  </si>
  <si>
    <t>Кол-во</t>
  </si>
  <si>
    <t>Валюта</t>
  </si>
  <si>
    <t>Цена за единицу</t>
  </si>
  <si>
    <t>Стоимость</t>
  </si>
  <si>
    <t>WK-4шт</t>
  </si>
  <si>
    <t>ЗИП+WK</t>
  </si>
  <si>
    <t>Приложение №7 к Контракту №ПСЛ313-26 от 28.05.2026г.</t>
  </si>
  <si>
    <t>Итого на общую сумму 36 512 023,36 (Тридцать шесть миллионов пятьсот двенадцать тысяч двадцать три, 36/100 Китайских Юаней), включая НДС 22%</t>
  </si>
  <si>
    <t>12 месяцев после зачисления на расчетный счет Продавца авансового платежа  в размере 50% по п.3 Приложения №7 к контракту</t>
  </si>
  <si>
    <t xml:space="preserve">  Спецификация на ЗИП</t>
  </si>
  <si>
    <t>1. Условия поставки: DDP Иркутская область, пос. Кропоткин, производственная площадка «Сухой лог» (Инкотермс 2020)</t>
  </si>
  <si>
    <t>2. Место поставки для поставки автомобильным транспортом: Иркутская область, Бодайбинский район, в 18 км на северо-запад по автодороге от пос. Кропоткин, район месторождения «Сухой лог», склад МТС</t>
  </si>
  <si>
    <t>3. Условия оплаты: Оплата 50% (пятьдесят) от стоимости ЗИП по настоящему Приложению производится в течение 3 (трех) рабочих дней с даты подписания настоящего Приложения на основании направленного Продавцом счета на оплату Покупателю. Оставшиеся 50% (пятьдесят) от стоимости ЗИП по настоящему Приложению оплачиваются в течение 5 (пяти) календарных дней с даты предварительной приёмки на заводе в Китае соответствующей части ЗИП, но не позднее даты отгрузки соответствующей части ЗИП из порта Таньцзинь.</t>
  </si>
  <si>
    <t>4. Не позднее 5 календарных дней с даты получения предоплаты Продавец обязан выставить в адрес Покупателя счет-фактуру на сумму предоплаты, оформленный в соответствии с требованиями ст. 169 Налогового кодекса Российской Федерации</t>
  </si>
  <si>
    <t xml:space="preserve">5. Все расчеты по данной спецификации производятся Покупателем в российских рублях в соответствии с курсом обмена между Юанем  и российским рублем, установленным Центральным Банком Российской Федерации, который определяется на дату осуществления платежа, путем перечисления денежных средств платежными поручениями на расчетный счет Поставщика в банке Поставщика. </t>
  </si>
  <si>
    <t>екнгд</t>
  </si>
  <si>
    <t>KEV224B-20</t>
  </si>
  <si>
    <t>1069838</t>
  </si>
  <si>
    <t>1044477</t>
  </si>
  <si>
    <t>1086865</t>
  </si>
  <si>
    <t>846966</t>
  </si>
  <si>
    <t>976408</t>
  </si>
  <si>
    <t>1285639</t>
  </si>
  <si>
    <t>1046986</t>
  </si>
  <si>
    <t>1186478</t>
  </si>
  <si>
    <t>1286887</t>
  </si>
  <si>
    <t>1059556</t>
  </si>
  <si>
    <t>1285640</t>
  </si>
  <si>
    <t>1122955</t>
  </si>
  <si>
    <t>975805</t>
  </si>
  <si>
    <t>975802</t>
  </si>
  <si>
    <t>1230356</t>
  </si>
  <si>
    <t>975801</t>
  </si>
  <si>
    <t>1045628</t>
  </si>
  <si>
    <t>975807</t>
  </si>
  <si>
    <t>1079935</t>
  </si>
  <si>
    <t>975767</t>
  </si>
  <si>
    <t>975769</t>
  </si>
  <si>
    <t>975803</t>
  </si>
  <si>
    <t>1145049</t>
  </si>
  <si>
    <t>1145356</t>
  </si>
  <si>
    <t>975766</t>
  </si>
  <si>
    <t>1046996</t>
  </si>
  <si>
    <t>889493</t>
  </si>
  <si>
    <t>1368437</t>
  </si>
  <si>
    <t>889488</t>
  </si>
  <si>
    <t>1186480</t>
  </si>
  <si>
    <t>975772</t>
  </si>
  <si>
    <t>1186481</t>
  </si>
  <si>
    <t>1204282</t>
  </si>
  <si>
    <t>1186482</t>
  </si>
  <si>
    <t>1186483</t>
  </si>
  <si>
    <t>975520</t>
  </si>
  <si>
    <t>1186476</t>
  </si>
  <si>
    <t>1174031</t>
  </si>
  <si>
    <t>1174032</t>
  </si>
  <si>
    <t>1186484</t>
  </si>
  <si>
    <t>1285658</t>
  </si>
  <si>
    <t>1285672</t>
  </si>
  <si>
    <t>1179144</t>
  </si>
  <si>
    <t>1285673</t>
  </si>
  <si>
    <t>1174028</t>
  </si>
  <si>
    <t>1152607</t>
  </si>
  <si>
    <t>1285875</t>
  </si>
  <si>
    <t>1174033</t>
  </si>
  <si>
    <t>975799</t>
  </si>
  <si>
    <t>1285877</t>
  </si>
  <si>
    <t>1285879</t>
  </si>
  <si>
    <t>975790</t>
  </si>
  <si>
    <t>1179104</t>
  </si>
  <si>
    <t>975823</t>
  </si>
  <si>
    <t>976107</t>
  </si>
  <si>
    <t>889642</t>
  </si>
  <si>
    <t>889643</t>
  </si>
  <si>
    <t>889619</t>
  </si>
  <si>
    <t>901728</t>
  </si>
  <si>
    <t>901730</t>
  </si>
  <si>
    <t>1365425</t>
  </si>
  <si>
    <t>988580</t>
  </si>
  <si>
    <t>1156393</t>
  </si>
  <si>
    <t>1394656</t>
  </si>
  <si>
    <t>1100494</t>
  </si>
  <si>
    <t>917579</t>
  </si>
  <si>
    <t>1098594</t>
  </si>
  <si>
    <t>988576</t>
  </si>
  <si>
    <t>976495</t>
  </si>
  <si>
    <t>1001832</t>
  </si>
  <si>
    <t>976545</t>
  </si>
  <si>
    <t>1345597</t>
  </si>
  <si>
    <t>961121</t>
  </si>
  <si>
    <t>1001800</t>
  </si>
  <si>
    <t>1156425</t>
  </si>
  <si>
    <t>1098607</t>
  </si>
  <si>
    <t>1156442</t>
  </si>
  <si>
    <t>869417</t>
  </si>
  <si>
    <t>1286815</t>
  </si>
  <si>
    <t>1286825</t>
  </si>
  <si>
    <t>869414</t>
  </si>
  <si>
    <t>869415</t>
  </si>
  <si>
    <t>975837</t>
  </si>
  <si>
    <t>975844</t>
  </si>
  <si>
    <t>976498</t>
  </si>
  <si>
    <t>1285884</t>
  </si>
  <si>
    <t>1224776</t>
  </si>
  <si>
    <t>1107458</t>
  </si>
  <si>
    <t>953566</t>
  </si>
  <si>
    <t>975744</t>
  </si>
  <si>
    <t>1285886</t>
  </si>
  <si>
    <t>1285888</t>
  </si>
  <si>
    <t>1285889</t>
  </si>
  <si>
    <t>1285890</t>
  </si>
  <si>
    <t>917581</t>
  </si>
  <si>
    <t>870824</t>
  </si>
  <si>
    <t>ек МТР</t>
  </si>
  <si>
    <t>ЕК МТР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</si>
</sst>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#,##0_р_."/>
    <numFmt numFmtId="166" formatCode="#,##0.00_р_."/>
    <numFmt numFmtId="167" formatCode="#,##0.00\ [$CNY]"/>
    <numFmt numFmtId="168" formatCode="[$$-409]#,##0.00"/>
    <numFmt numFmtId="169" formatCode="_ [$￥-804]* #,##0.00_ ;_ [$￥-804]* \-#,##0.00_ ;_ [$￥-804]* &quot;-&quot;??_ ;_ @_ "/>
    <numFmt numFmtId="170" formatCode="[$-419]mmmm\ yyyy;@"/>
    <numFmt numFmtId="171" formatCode="[$$-409]#,##0.00_);[Red]\([$$-409]#,##0.00\)"/>
  </numFmts>
  <fonts count="44">
    <font>
      <sz val="10"/>
      <name val="Arial Cyr"/>
      <charset val="134"/>
    </font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10"/>
      <name val="Arial Cyr"/>
      <charset val="134"/>
    </font>
    <font>
      <sz val="10"/>
      <name val="Helv"/>
      <family val="2"/>
    </font>
    <font>
      <b/>
      <sz val="16"/>
      <name val="微软雅黑"/>
      <family val="2"/>
      <charset val="134"/>
    </font>
    <font>
      <b/>
      <sz val="11"/>
      <name val="Segoe UI Symbol"/>
      <family val="2"/>
    </font>
    <font>
      <b/>
      <sz val="10"/>
      <name val="等线"/>
      <charset val="134"/>
    </font>
    <font>
      <sz val="9"/>
      <name val="Arial Cyr"/>
      <charset val="13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name val="Arial Cyr"/>
      <charset val="134"/>
    </font>
    <font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FF0000"/>
      <name val="Arial"/>
      <family val="2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0" fontId="19" fillId="0" borderId="0"/>
    <xf numFmtId="0" fontId="20" fillId="0" borderId="0"/>
    <xf numFmtId="0" fontId="38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1" fontId="26" fillId="0" borderId="0">
      <alignment vertical="center"/>
    </xf>
    <xf numFmtId="0" fontId="2" fillId="0" borderId="0"/>
    <xf numFmtId="0" fontId="40" fillId="0" borderId="0"/>
    <xf numFmtId="0" fontId="2" fillId="0" borderId="0"/>
    <xf numFmtId="0" fontId="40" fillId="0" borderId="0"/>
    <xf numFmtId="0" fontId="20" fillId="0" borderId="0"/>
    <xf numFmtId="9" fontId="2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1" fillId="0" borderId="0"/>
    <xf numFmtId="43" fontId="3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1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11" applyFont="1" applyFill="1" applyAlignment="1">
      <alignment horizontal="center"/>
    </xf>
    <xf numFmtId="0" fontId="42" fillId="0" borderId="0" xfId="11" applyFont="1" applyFill="1"/>
    <xf numFmtId="0" fontId="1" fillId="0" borderId="0" xfId="11" applyFont="1" applyFill="1"/>
    <xf numFmtId="0" fontId="2" fillId="0" borderId="0" xfId="11" applyFont="1" applyFill="1" applyAlignment="1">
      <alignment horizontal="center"/>
    </xf>
    <xf numFmtId="4" fontId="2" fillId="0" borderId="0" xfId="11" applyNumberFormat="1" applyFont="1" applyFill="1"/>
    <xf numFmtId="4" fontId="2" fillId="0" borderId="0" xfId="11" applyNumberFormat="1" applyFont="1" applyFill="1" applyAlignment="1">
      <alignment horizontal="center"/>
    </xf>
    <xf numFmtId="0" fontId="2" fillId="0" borderId="0" xfId="11" applyFont="1" applyFill="1"/>
    <xf numFmtId="0" fontId="1" fillId="0" borderId="1" xfId="11" applyFont="1" applyFill="1" applyBorder="1"/>
    <xf numFmtId="0" fontId="1" fillId="0" borderId="2" xfId="11" applyFont="1" applyFill="1" applyBorder="1"/>
    <xf numFmtId="0" fontId="2" fillId="0" borderId="2" xfId="11" applyFont="1" applyFill="1" applyBorder="1" applyAlignment="1">
      <alignment horizontal="center"/>
    </xf>
    <xf numFmtId="4" fontId="2" fillId="0" borderId="2" xfId="11" applyNumberFormat="1" applyFont="1" applyFill="1" applyBorder="1"/>
    <xf numFmtId="4" fontId="2" fillId="0" borderId="3" xfId="11" applyNumberFormat="1" applyFont="1" applyFill="1" applyBorder="1" applyAlignment="1">
      <alignment horizontal="center"/>
    </xf>
    <xf numFmtId="0" fontId="1" fillId="0" borderId="4" xfId="11" applyFont="1" applyFill="1" applyBorder="1" applyAlignment="1">
      <alignment horizontal="center"/>
    </xf>
    <xf numFmtId="0" fontId="2" fillId="0" borderId="4" xfId="11" applyFont="1" applyFill="1" applyBorder="1" applyAlignment="1">
      <alignment horizontal="center"/>
    </xf>
    <xf numFmtId="0" fontId="2" fillId="0" borderId="5" xfId="11" applyFont="1" applyFill="1" applyBorder="1" applyAlignment="1">
      <alignment horizontal="center" vertical="center" wrapText="1"/>
    </xf>
    <xf numFmtId="0" fontId="2" fillId="0" borderId="5" xfId="11" applyFont="1" applyFill="1" applyBorder="1" applyAlignment="1">
      <alignment horizontal="center" vertical="center"/>
    </xf>
    <xf numFmtId="165" fontId="2" fillId="0" borderId="5" xfId="11" applyNumberFormat="1" applyFont="1" applyFill="1" applyBorder="1" applyAlignment="1">
      <alignment horizontal="center" vertical="center"/>
    </xf>
    <xf numFmtId="4" fontId="2" fillId="0" borderId="5" xfId="13" applyNumberFormat="1" applyFont="1" applyFill="1" applyBorder="1" applyAlignment="1">
      <alignment horizontal="center" vertical="center"/>
    </xf>
    <xf numFmtId="4" fontId="2" fillId="0" borderId="5" xfId="11" applyNumberFormat="1" applyFont="1" applyFill="1" applyBorder="1" applyAlignment="1">
      <alignment horizontal="center" vertical="center"/>
    </xf>
    <xf numFmtId="2" fontId="2" fillId="0" borderId="0" xfId="11" applyNumberFormat="1" applyFont="1" applyFill="1"/>
    <xf numFmtId="14" fontId="2" fillId="0" borderId="0" xfId="11" applyNumberFormat="1" applyFont="1" applyFill="1"/>
    <xf numFmtId="14" fontId="1" fillId="0" borderId="0" xfId="11" applyNumberFormat="1" applyFont="1" applyFill="1"/>
    <xf numFmtId="2" fontId="42" fillId="0" borderId="0" xfId="11" applyNumberFormat="1" applyFont="1" applyFill="1"/>
    <xf numFmtId="14" fontId="42" fillId="0" borderId="0" xfId="11" applyNumberFormat="1" applyFont="1" applyFill="1"/>
    <xf numFmtId="0" fontId="1" fillId="0" borderId="5" xfId="11" applyFont="1" applyFill="1" applyBorder="1" applyAlignment="1">
      <alignment horizontal="center" vertical="center" wrapText="1"/>
    </xf>
    <xf numFmtId="0" fontId="2" fillId="0" borderId="5" xfId="11" applyNumberFormat="1" applyFont="1" applyFill="1" applyBorder="1" applyAlignment="1">
      <alignment horizontal="center" vertical="center" wrapText="1"/>
    </xf>
    <xf numFmtId="0" fontId="1" fillId="0" borderId="5" xfId="11" applyFont="1" applyFill="1" applyBorder="1" applyAlignment="1">
      <alignment horizontal="center" vertical="center"/>
    </xf>
    <xf numFmtId="165" fontId="1" fillId="0" borderId="5" xfId="11" applyNumberFormat="1" applyFont="1" applyFill="1" applyBorder="1" applyAlignment="1">
      <alignment horizontal="center" vertical="center"/>
    </xf>
    <xf numFmtId="4" fontId="1" fillId="0" borderId="5" xfId="13" applyNumberFormat="1" applyFont="1" applyFill="1" applyBorder="1" applyAlignment="1">
      <alignment horizontal="center" vertical="center"/>
    </xf>
    <xf numFmtId="4" fontId="1" fillId="0" borderId="5" xfId="11" applyNumberFormat="1" applyFont="1" applyFill="1" applyBorder="1" applyAlignment="1">
      <alignment horizontal="center" vertical="center"/>
    </xf>
    <xf numFmtId="2" fontId="1" fillId="0" borderId="0" xfId="11" applyNumberFormat="1" applyFont="1" applyFill="1"/>
    <xf numFmtId="165" fontId="0" fillId="0" borderId="6" xfId="15" applyNumberFormat="1" applyFont="1" applyFill="1" applyBorder="1" applyAlignment="1">
      <alignment horizontal="center" vertical="center"/>
    </xf>
    <xf numFmtId="4" fontId="6" fillId="0" borderId="6" xfId="13" applyNumberFormat="1" applyFont="1" applyFill="1" applyBorder="1" applyAlignment="1">
      <alignment horizontal="right" vertical="center"/>
    </xf>
    <xf numFmtId="4" fontId="6" fillId="0" borderId="6" xfId="11" applyNumberFormat="1" applyFont="1" applyFill="1" applyBorder="1" applyAlignment="1">
      <alignment horizontal="center" vertical="center"/>
    </xf>
    <xf numFmtId="0" fontId="1" fillId="0" borderId="7" xfId="11" applyFont="1" applyFill="1" applyBorder="1" applyAlignment="1">
      <alignment vertical="center"/>
    </xf>
    <xf numFmtId="0" fontId="1" fillId="0" borderId="8" xfId="11" applyFont="1" applyFill="1" applyBorder="1" applyAlignment="1">
      <alignment vertical="center"/>
    </xf>
    <xf numFmtId="0" fontId="2" fillId="0" borderId="8" xfId="11" applyFont="1" applyFill="1" applyBorder="1" applyAlignment="1">
      <alignment horizontal="center" vertical="center"/>
    </xf>
    <xf numFmtId="4" fontId="2" fillId="0" borderId="8" xfId="11" applyNumberFormat="1" applyFont="1" applyFill="1" applyBorder="1" applyAlignment="1">
      <alignment vertical="center"/>
    </xf>
    <xf numFmtId="4" fontId="2" fillId="0" borderId="9" xfId="11" applyNumberFormat="1" applyFont="1" applyFill="1" applyBorder="1" applyAlignment="1">
      <alignment horizontal="center" vertical="center"/>
    </xf>
    <xf numFmtId="0" fontId="7" fillId="0" borderId="10" xfId="11" applyFont="1" applyFill="1" applyBorder="1" applyAlignment="1"/>
    <xf numFmtId="0" fontId="5" fillId="0" borderId="0" xfId="11" applyFont="1" applyFill="1" applyBorder="1" applyAlignment="1"/>
    <xf numFmtId="166" fontId="8" fillId="0" borderId="0" xfId="11" applyNumberFormat="1" applyFont="1" applyFill="1" applyBorder="1" applyAlignment="1">
      <alignment vertical="center"/>
    </xf>
    <xf numFmtId="0" fontId="4" fillId="0" borderId="0" xfId="11" applyFont="1" applyFill="1" applyBorder="1" applyAlignment="1"/>
    <xf numFmtId="4" fontId="4" fillId="0" borderId="0" xfId="11" applyNumberFormat="1" applyFont="1" applyFill="1" applyBorder="1" applyAlignment="1"/>
    <xf numFmtId="168" fontId="2" fillId="0" borderId="0" xfId="11" applyNumberFormat="1" applyFont="1" applyFill="1"/>
    <xf numFmtId="0" fontId="7" fillId="0" borderId="11" xfId="11" applyFont="1" applyFill="1" applyBorder="1" applyAlignment="1"/>
    <xf numFmtId="0" fontId="5" fillId="0" borderId="12" xfId="11" applyFont="1" applyFill="1" applyBorder="1" applyAlignment="1">
      <alignment vertical="center"/>
    </xf>
    <xf numFmtId="166" fontId="8" fillId="0" borderId="12" xfId="11" applyNumberFormat="1" applyFont="1" applyFill="1" applyBorder="1" applyAlignment="1">
      <alignment vertical="center"/>
    </xf>
    <xf numFmtId="0" fontId="4" fillId="0" borderId="12" xfId="11" applyFont="1" applyFill="1" applyBorder="1" applyAlignment="1"/>
    <xf numFmtId="4" fontId="4" fillId="0" borderId="12" xfId="11" applyNumberFormat="1" applyFont="1" applyFill="1" applyBorder="1" applyAlignment="1"/>
    <xf numFmtId="0" fontId="7" fillId="0" borderId="0" xfId="11" applyFont="1" applyFill="1" applyAlignment="1"/>
    <xf numFmtId="0" fontId="5" fillId="0" borderId="0" xfId="11" applyFont="1" applyFill="1" applyAlignment="1">
      <alignment vertical="center"/>
    </xf>
    <xf numFmtId="166" fontId="8" fillId="0" borderId="0" xfId="11" applyNumberFormat="1" applyFont="1" applyFill="1" applyAlignment="1">
      <alignment vertical="center"/>
    </xf>
    <xf numFmtId="0" fontId="4" fillId="0" borderId="0" xfId="11" applyFont="1" applyFill="1" applyAlignment="1"/>
    <xf numFmtId="4" fontId="4" fillId="0" borderId="0" xfId="11" applyNumberFormat="1" applyFont="1" applyFill="1" applyAlignment="1"/>
    <xf numFmtId="167" fontId="4" fillId="0" borderId="0" xfId="11" applyNumberFormat="1" applyFont="1" applyFill="1" applyAlignment="1">
      <alignment horizontal="center" vertical="center"/>
    </xf>
    <xf numFmtId="166" fontId="8" fillId="0" borderId="0" xfId="11" applyNumberFormat="1" applyFont="1" applyFill="1" applyAlignment="1">
      <alignment horizontal="center" vertical="center"/>
    </xf>
    <xf numFmtId="4" fontId="4" fillId="0" borderId="0" xfId="11" applyNumberFormat="1" applyFont="1" applyFill="1" applyAlignment="1">
      <alignment horizontal="center" vertical="center"/>
    </xf>
    <xf numFmtId="0" fontId="7" fillId="0" borderId="0" xfId="11" applyFont="1" applyFill="1"/>
    <xf numFmtId="0" fontId="8" fillId="0" borderId="0" xfId="11" applyFont="1" applyFill="1" applyBorder="1" applyAlignment="1">
      <alignment horizontal="left"/>
    </xf>
    <xf numFmtId="4" fontId="9" fillId="0" borderId="0" xfId="11" applyNumberFormat="1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9" fillId="0" borderId="0" xfId="0" applyFont="1" applyFill="1"/>
    <xf numFmtId="0" fontId="10" fillId="0" borderId="0" xfId="0" applyFont="1" applyFill="1" applyAlignment="1"/>
    <xf numFmtId="0" fontId="2" fillId="0" borderId="0" xfId="11" applyFont="1" applyFill="1" applyAlignment="1"/>
    <xf numFmtId="0" fontId="11" fillId="0" borderId="0" xfId="11" applyFont="1" applyFill="1" applyAlignment="1">
      <alignment horizontal="center"/>
    </xf>
    <xf numFmtId="0" fontId="11" fillId="0" borderId="0" xfId="11" applyFont="1" applyFill="1"/>
    <xf numFmtId="0" fontId="11" fillId="0" borderId="0" xfId="11" applyFont="1" applyFill="1" applyAlignment="1">
      <alignment vertical="center"/>
    </xf>
    <xf numFmtId="0" fontId="11" fillId="0" borderId="0" xfId="11" applyFont="1" applyFill="1" applyAlignment="1">
      <alignment horizontal="center" vertical="center"/>
    </xf>
    <xf numFmtId="0" fontId="11" fillId="0" borderId="0" xfId="0" applyFont="1" applyFill="1"/>
    <xf numFmtId="0" fontId="16" fillId="3" borderId="5" xfId="11" applyFont="1" applyFill="1" applyBorder="1" applyAlignment="1">
      <alignment horizontal="center" vertical="center" wrapText="1"/>
    </xf>
    <xf numFmtId="0" fontId="14" fillId="3" borderId="5" xfId="11" applyFont="1" applyFill="1" applyBorder="1" applyAlignment="1">
      <alignment horizontal="left" vertical="center" wrapText="1"/>
    </xf>
    <xf numFmtId="0" fontId="14" fillId="3" borderId="5" xfId="11" applyFont="1" applyFill="1" applyBorder="1" applyAlignment="1">
      <alignment horizontal="center" vertical="center"/>
    </xf>
    <xf numFmtId="170" fontId="17" fillId="3" borderId="5" xfId="11" applyNumberFormat="1" applyFont="1" applyFill="1" applyBorder="1" applyAlignment="1">
      <alignment horizontal="center" vertical="center" wrapText="1"/>
    </xf>
    <xf numFmtId="0" fontId="11" fillId="3" borderId="0" xfId="11" applyFont="1" applyFill="1"/>
    <xf numFmtId="165" fontId="14" fillId="3" borderId="5" xfId="11" applyNumberFormat="1" applyFont="1" applyFill="1" applyBorder="1" applyAlignment="1">
      <alignment horizontal="center" vertical="center"/>
    </xf>
    <xf numFmtId="164" fontId="14" fillId="3" borderId="5" xfId="11" applyNumberFormat="1" applyFont="1" applyFill="1" applyBorder="1" applyAlignment="1">
      <alignment vertical="center"/>
    </xf>
    <xf numFmtId="171" fontId="27" fillId="0" borderId="0" xfId="10" applyFont="1" applyAlignment="1"/>
    <xf numFmtId="0" fontId="14" fillId="4" borderId="5" xfId="11" applyFont="1" applyFill="1" applyBorder="1" applyAlignment="1">
      <alignment horizontal="left" vertical="center" wrapText="1"/>
    </xf>
    <xf numFmtId="0" fontId="15" fillId="0" borderId="5" xfId="11" applyFont="1" applyBorder="1" applyAlignment="1">
      <alignment horizontal="center" vertical="center"/>
    </xf>
    <xf numFmtId="0" fontId="16" fillId="0" borderId="5" xfId="11" applyFont="1" applyBorder="1" applyAlignment="1">
      <alignment horizontal="left" vertical="center"/>
    </xf>
    <xf numFmtId="0" fontId="18" fillId="0" borderId="0" xfId="11" applyFont="1" applyAlignment="1">
      <alignment horizontal="center" vertical="center"/>
    </xf>
    <xf numFmtId="0" fontId="29" fillId="0" borderId="0" xfId="11" applyFont="1" applyFill="1"/>
    <xf numFmtId="0" fontId="32" fillId="0" borderId="0" xfId="11" applyFont="1" applyFill="1"/>
    <xf numFmtId="0" fontId="30" fillId="0" borderId="1" xfId="11" applyFont="1" applyFill="1" applyBorder="1" applyAlignment="1">
      <alignment horizontal="center" vertical="center" wrapText="1"/>
    </xf>
    <xf numFmtId="4" fontId="33" fillId="0" borderId="5" xfId="11" applyNumberFormat="1" applyFont="1" applyFill="1" applyBorder="1" applyAlignment="1">
      <alignment horizontal="right" vertical="center"/>
    </xf>
    <xf numFmtId="0" fontId="32" fillId="0" borderId="0" xfId="11" applyFont="1" applyFill="1" applyAlignment="1">
      <alignment horizontal="center" vertical="center"/>
    </xf>
    <xf numFmtId="4" fontId="33" fillId="0" borderId="0" xfId="11" applyNumberFormat="1" applyFont="1" applyFill="1" applyBorder="1" applyAlignment="1">
      <alignment horizontal="right" vertical="center"/>
    </xf>
    <xf numFmtId="0" fontId="29" fillId="0" borderId="0" xfId="11" applyFont="1" applyFill="1" applyAlignment="1"/>
    <xf numFmtId="0" fontId="28" fillId="0" borderId="0" xfId="11" applyFont="1" applyFill="1" applyAlignment="1">
      <alignment vertical="top"/>
    </xf>
    <xf numFmtId="166" fontId="28" fillId="0" borderId="0" xfId="11" applyNumberFormat="1" applyFont="1" applyFill="1" applyAlignment="1">
      <alignment vertical="center"/>
    </xf>
    <xf numFmtId="0" fontId="28" fillId="0" borderId="0" xfId="11" applyFont="1" applyFill="1" applyAlignment="1"/>
    <xf numFmtId="0" fontId="28" fillId="0" borderId="0" xfId="11" applyFont="1" applyFill="1" applyAlignment="1">
      <alignment wrapText="1"/>
    </xf>
    <xf numFmtId="0" fontId="31" fillId="0" borderId="0" xfId="11" applyFont="1" applyFill="1" applyAlignment="1">
      <alignment vertical="center"/>
    </xf>
    <xf numFmtId="4" fontId="28" fillId="0" borderId="0" xfId="11" applyNumberFormat="1" applyFont="1" applyFill="1" applyBorder="1" applyAlignment="1"/>
    <xf numFmtId="0" fontId="28" fillId="0" borderId="0" xfId="11" applyFont="1" applyFill="1" applyBorder="1" applyAlignment="1">
      <alignment horizontal="left" vertical="center"/>
    </xf>
    <xf numFmtId="0" fontId="32" fillId="0" borderId="0" xfId="11" applyFont="1" applyFill="1" applyAlignment="1">
      <alignment horizontal="center"/>
    </xf>
    <xf numFmtId="0" fontId="28" fillId="0" borderId="0" xfId="0" applyFont="1" applyAlignment="1">
      <alignment horizontal="left" vertical="center"/>
    </xf>
    <xf numFmtId="4" fontId="28" fillId="0" borderId="0" xfId="11" applyNumberFormat="1" applyFont="1" applyFill="1" applyBorder="1" applyAlignment="1">
      <alignment horizontal="center"/>
    </xf>
    <xf numFmtId="0" fontId="35" fillId="0" borderId="0" xfId="0" applyFont="1" applyFill="1" applyAlignment="1">
      <alignment vertical="center"/>
    </xf>
    <xf numFmtId="0" fontId="36" fillId="0" borderId="0" xfId="0" applyFont="1" applyFill="1"/>
    <xf numFmtId="0" fontId="31" fillId="0" borderId="0" xfId="0" applyFont="1" applyFill="1" applyAlignment="1">
      <alignment horizontal="left" vertical="center"/>
    </xf>
    <xf numFmtId="0" fontId="29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3" fillId="0" borderId="0" xfId="11" applyFont="1" applyFill="1" applyAlignment="1">
      <alignment horizontal="right"/>
    </xf>
    <xf numFmtId="0" fontId="12" fillId="0" borderId="0" xfId="11" applyFont="1" applyFill="1" applyAlignment="1">
      <alignment horizontal="right"/>
    </xf>
    <xf numFmtId="4" fontId="11" fillId="0" borderId="0" xfId="11" applyNumberFormat="1" applyFont="1" applyFill="1"/>
    <xf numFmtId="0" fontId="29" fillId="0" borderId="0" xfId="11" applyFont="1" applyFill="1" applyAlignment="1">
      <alignment vertical="center"/>
    </xf>
    <xf numFmtId="0" fontId="29" fillId="0" borderId="0" xfId="11" applyFont="1" applyFill="1" applyAlignment="1">
      <alignment horizontal="center" vertical="center"/>
    </xf>
    <xf numFmtId="4" fontId="29" fillId="0" borderId="0" xfId="11" applyNumberFormat="1" applyFont="1" applyFill="1" applyBorder="1"/>
    <xf numFmtId="166" fontId="29" fillId="0" borderId="0" xfId="11" applyNumberFormat="1" applyFont="1" applyFill="1" applyAlignment="1">
      <alignment vertical="center"/>
    </xf>
    <xf numFmtId="4" fontId="28" fillId="0" borderId="0" xfId="11" applyNumberFormat="1" applyFont="1" applyFill="1" applyBorder="1" applyAlignment="1">
      <alignment horizontal="right" vertical="center"/>
    </xf>
    <xf numFmtId="0" fontId="29" fillId="0" borderId="0" xfId="11" applyFont="1" applyFill="1" applyBorder="1"/>
    <xf numFmtId="0" fontId="29" fillId="0" borderId="5" xfId="12" applyFont="1" applyBorder="1" applyAlignment="1">
      <alignment horizontal="center" vertical="center"/>
    </xf>
    <xf numFmtId="0" fontId="14" fillId="5" borderId="5" xfId="11" applyFont="1" applyFill="1" applyBorder="1" applyAlignment="1">
      <alignment horizontal="left" vertical="center" wrapText="1"/>
    </xf>
    <xf numFmtId="0" fontId="29" fillId="5" borderId="5" xfId="12" applyFont="1" applyFill="1" applyBorder="1" applyAlignment="1">
      <alignment horizontal="center" vertical="center"/>
    </xf>
    <xf numFmtId="0" fontId="14" fillId="5" borderId="5" xfId="11" applyFont="1" applyFill="1" applyBorder="1" applyAlignment="1">
      <alignment horizontal="center" vertical="center"/>
    </xf>
    <xf numFmtId="165" fontId="14" fillId="5" borderId="5" xfId="11" applyNumberFormat="1" applyFont="1" applyFill="1" applyBorder="1" applyAlignment="1">
      <alignment horizontal="center" vertical="center"/>
    </xf>
    <xf numFmtId="170" fontId="17" fillId="5" borderId="5" xfId="11" applyNumberFormat="1" applyFont="1" applyFill="1" applyBorder="1" applyAlignment="1">
      <alignment horizontal="center" vertical="center" wrapText="1"/>
    </xf>
    <xf numFmtId="0" fontId="16" fillId="5" borderId="5" xfId="11" applyFont="1" applyFill="1" applyBorder="1" applyAlignment="1">
      <alignment horizontal="center" vertical="center" wrapText="1"/>
    </xf>
    <xf numFmtId="164" fontId="14" fillId="5" borderId="5" xfId="11" applyNumberFormat="1" applyFont="1" applyFill="1" applyBorder="1" applyAlignment="1">
      <alignment vertical="center"/>
    </xf>
    <xf numFmtId="9" fontId="27" fillId="0" borderId="0" xfId="16" applyFont="1" applyAlignment="1"/>
    <xf numFmtId="0" fontId="40" fillId="0" borderId="0" xfId="14" applyAlignment="1">
      <alignment vertical="top"/>
    </xf>
    <xf numFmtId="0" fontId="29" fillId="0" borderId="0" xfId="11" applyFont="1" applyFill="1" applyAlignment="1">
      <alignment horizontal="center"/>
    </xf>
    <xf numFmtId="0" fontId="11" fillId="2" borderId="0" xfId="11" applyFont="1" applyFill="1" applyAlignment="1">
      <alignment horizontal="center"/>
    </xf>
    <xf numFmtId="0" fontId="29" fillId="0" borderId="5" xfId="12" applyFont="1" applyFill="1" applyBorder="1" applyAlignment="1">
      <alignment horizontal="center" vertical="center" wrapText="1"/>
    </xf>
    <xf numFmtId="0" fontId="29" fillId="0" borderId="5" xfId="12" applyFont="1" applyFill="1" applyBorder="1" applyAlignment="1">
      <alignment horizontal="center" vertical="center"/>
    </xf>
    <xf numFmtId="0" fontId="43" fillId="0" borderId="5" xfId="12" applyFont="1" applyFill="1" applyBorder="1" applyAlignment="1">
      <alignment horizontal="center" vertical="center"/>
    </xf>
    <xf numFmtId="0" fontId="14" fillId="0" borderId="5" xfId="11" applyFont="1" applyFill="1" applyBorder="1" applyAlignment="1">
      <alignment horizontal="center" vertical="center" wrapText="1"/>
    </xf>
    <xf numFmtId="0" fontId="14" fillId="0" borderId="5" xfId="12" applyFont="1" applyFill="1" applyBorder="1" applyAlignment="1">
      <alignment horizontal="center" vertical="center"/>
    </xf>
    <xf numFmtId="0" fontId="14" fillId="0" borderId="5" xfId="11" applyNumberFormat="1" applyFont="1" applyFill="1" applyBorder="1" applyAlignment="1">
      <alignment horizontal="center" vertical="center" wrapText="1"/>
    </xf>
    <xf numFmtId="0" fontId="29" fillId="0" borderId="0" xfId="11" applyFont="1" applyFill="1" applyAlignment="1">
      <alignment vertical="center" wrapText="1"/>
    </xf>
    <xf numFmtId="0" fontId="37" fillId="0" borderId="0" xfId="0" applyFont="1" applyAlignment="1">
      <alignment vertical="center" wrapText="1"/>
    </xf>
    <xf numFmtId="4" fontId="13" fillId="3" borderId="5" xfId="11" applyNumberFormat="1" applyFont="1" applyFill="1" applyBorder="1" applyAlignment="1">
      <alignment horizontal="center" vertical="center" wrapText="1"/>
    </xf>
    <xf numFmtId="0" fontId="13" fillId="3" borderId="5" xfId="11" applyFont="1" applyFill="1" applyBorder="1" applyAlignment="1">
      <alignment horizontal="center" vertical="center" wrapText="1"/>
    </xf>
    <xf numFmtId="169" fontId="13" fillId="3" borderId="5" xfId="11" applyNumberFormat="1" applyFont="1" applyFill="1" applyBorder="1" applyAlignment="1">
      <alignment horizontal="center" vertical="center" wrapText="1"/>
    </xf>
    <xf numFmtId="0" fontId="11" fillId="0" borderId="0" xfId="11" applyFont="1" applyFill="1" applyAlignment="1">
      <alignment horizontal="right"/>
    </xf>
    <xf numFmtId="0" fontId="28" fillId="3" borderId="0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13" fillId="0" borderId="5" xfId="11" applyFont="1" applyFill="1" applyBorder="1" applyAlignment="1">
      <alignment horizontal="left" vertical="center"/>
    </xf>
    <xf numFmtId="0" fontId="15" fillId="3" borderId="5" xfId="11" applyFont="1" applyFill="1" applyBorder="1" applyAlignment="1">
      <alignment horizontal="center" vertical="center" wrapText="1"/>
    </xf>
    <xf numFmtId="0" fontId="6" fillId="0" borderId="13" xfId="11" applyFont="1" applyFill="1" applyBorder="1" applyAlignment="1">
      <alignment horizontal="center" vertical="center" wrapText="1"/>
    </xf>
    <xf numFmtId="0" fontId="6" fillId="0" borderId="14" xfId="11" applyFont="1" applyFill="1" applyBorder="1" applyAlignment="1">
      <alignment horizontal="center" vertical="center" wrapText="1"/>
    </xf>
    <xf numFmtId="4" fontId="6" fillId="0" borderId="13" xfId="11" applyNumberFormat="1" applyFont="1" applyFill="1" applyBorder="1" applyAlignment="1">
      <alignment horizontal="center" vertical="center" wrapText="1"/>
    </xf>
    <xf numFmtId="4" fontId="6" fillId="0" borderId="14" xfId="11" applyNumberFormat="1" applyFont="1" applyFill="1" applyBorder="1" applyAlignment="1">
      <alignment horizontal="center" vertical="center" wrapText="1"/>
    </xf>
    <xf numFmtId="167" fontId="4" fillId="0" borderId="15" xfId="11" applyNumberFormat="1" applyFont="1" applyFill="1" applyBorder="1" applyAlignment="1">
      <alignment horizontal="center" vertical="center"/>
    </xf>
    <xf numFmtId="167" fontId="4" fillId="0" borderId="16" xfId="11" applyNumberFormat="1" applyFont="1" applyFill="1" applyBorder="1" applyAlignment="1">
      <alignment horizontal="center" vertical="center"/>
    </xf>
    <xf numFmtId="0" fontId="3" fillId="0" borderId="5" xfId="11" applyFont="1" applyFill="1" applyBorder="1" applyAlignment="1">
      <alignment horizontal="center"/>
    </xf>
    <xf numFmtId="0" fontId="4" fillId="0" borderId="17" xfId="11" applyFont="1" applyFill="1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5" fillId="0" borderId="6" xfId="11" applyFont="1" applyFill="1" applyBorder="1" applyAlignment="1">
      <alignment horizontal="left" vertical="center"/>
    </xf>
    <xf numFmtId="0" fontId="5" fillId="0" borderId="13" xfId="11" applyFont="1" applyFill="1" applyBorder="1" applyAlignment="1">
      <alignment horizontal="center" vertical="center" wrapText="1"/>
    </xf>
    <xf numFmtId="0" fontId="5" fillId="0" borderId="14" xfId="11" applyFont="1" applyFill="1" applyBorder="1" applyAlignment="1">
      <alignment horizontal="center" vertical="center" wrapText="1"/>
    </xf>
  </cellXfs>
  <cellStyles count="33">
    <cellStyle name="Normal_L7CRL 2000 127 HE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7" xr:uid="{00000000-0005-0000-0000-000007000000}"/>
    <cellStyle name="Обычный 5" xfId="8" xr:uid="{00000000-0005-0000-0000-000008000000}"/>
    <cellStyle name="Обычный 5 2" xfId="9" xr:uid="{00000000-0005-0000-0000-000009000000}"/>
    <cellStyle name="Обычный 6 2" xfId="10" xr:uid="{00000000-0005-0000-0000-00000A000000}"/>
    <cellStyle name="Обычный_Appendix 1 NN-Normet" xfId="11" xr:uid="{00000000-0005-0000-0000-00000B000000}"/>
    <cellStyle name="Обычный_Appendix 1 NN-Normet_новый спец" xfId="12" xr:uid="{00000000-0005-0000-0000-00000C000000}"/>
    <cellStyle name="Обычный_ROC L8 Polus parts 6000 ehr" xfId="13" xr:uid="{00000000-0005-0000-0000-00000D000000}"/>
    <cellStyle name="Обычный_зип" xfId="14" xr:uid="{00000000-0005-0000-0000-00000E000000}"/>
    <cellStyle name="Обычный_Расходные материалы D6R TBC" xfId="15" xr:uid="{00000000-0005-0000-0000-00000F000000}"/>
    <cellStyle name="Процентный" xfId="16" builtinId="5"/>
    <cellStyle name="Процентный 2" xfId="17" xr:uid="{00000000-0005-0000-0000-000011000000}"/>
    <cellStyle name="Процентный 3" xfId="18" xr:uid="{00000000-0005-0000-0000-000012000000}"/>
    <cellStyle name="Процентный 4" xfId="19" xr:uid="{00000000-0005-0000-0000-000013000000}"/>
    <cellStyle name="Процентный 5" xfId="20" xr:uid="{00000000-0005-0000-0000-000014000000}"/>
    <cellStyle name="Стиль 1" xfId="21" xr:uid="{00000000-0005-0000-0000-000015000000}"/>
    <cellStyle name="Финансовый 2" xfId="22" xr:uid="{00000000-0005-0000-0000-000016000000}"/>
    <cellStyle name="Финансовый 2 2" xfId="23" xr:uid="{00000000-0005-0000-0000-000017000000}"/>
    <cellStyle name="Финансовый 2 2 2" xfId="24" xr:uid="{00000000-0005-0000-0000-000018000000}"/>
    <cellStyle name="Финансовый 2 3" xfId="25" xr:uid="{00000000-0005-0000-0000-000019000000}"/>
    <cellStyle name="Финансовый 2 3 2" xfId="26" xr:uid="{00000000-0005-0000-0000-00001A000000}"/>
    <cellStyle name="Финансовый 2 4" xfId="27" xr:uid="{00000000-0005-0000-0000-00001B000000}"/>
    <cellStyle name="Финансовый 3" xfId="28" xr:uid="{00000000-0005-0000-0000-00001C000000}"/>
    <cellStyle name="Финансовый 3 2" xfId="29" xr:uid="{00000000-0005-0000-0000-00001D000000}"/>
    <cellStyle name="Финансовый 4" xfId="30" xr:uid="{00000000-0005-0000-0000-00001E000000}"/>
    <cellStyle name="Финансовый 5" xfId="31" xr:uid="{00000000-0005-0000-0000-00001F000000}"/>
    <cellStyle name="Финансовый 6" xfId="32" xr:uid="{00000000-0005-0000-0000-000020000000}"/>
  </cellStyles>
  <dxfs count="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4"/>
  <sheetViews>
    <sheetView tabSelected="1" zoomScale="90" zoomScaleNormal="90" workbookViewId="0">
      <selection activeCell="J8" sqref="J8:J9"/>
    </sheetView>
  </sheetViews>
  <sheetFormatPr defaultRowHeight="12.75" outlineLevelCol="1"/>
  <cols>
    <col min="1" max="1" width="4.42578125" style="67" customWidth="1"/>
    <col min="2" max="2" width="32.28515625" style="67" customWidth="1"/>
    <col min="3" max="3" width="28.28515625" style="67" customWidth="1"/>
    <col min="4" max="4" width="23.5703125" style="67" customWidth="1"/>
    <col min="5" max="5" width="22.42578125" style="66" customWidth="1"/>
    <col min="6" max="6" width="11.140625" style="67" customWidth="1"/>
    <col min="7" max="7" width="12" style="66" customWidth="1"/>
    <col min="8" max="8" width="10.42578125" style="66" customWidth="1"/>
    <col min="9" max="9" width="31.5703125" style="66" customWidth="1"/>
    <col min="10" max="10" width="18.85546875" style="66" customWidth="1"/>
    <col min="11" max="11" width="19" style="67" customWidth="1"/>
    <col min="12" max="12" width="20" style="67" customWidth="1"/>
    <col min="13" max="14" width="0" style="67" hidden="1" customWidth="1" outlineLevel="1"/>
    <col min="15" max="16" width="12.85546875" style="67" hidden="1" customWidth="1" outlineLevel="1"/>
    <col min="17" max="17" width="11.5703125" style="67" hidden="1" customWidth="1" outlineLevel="1"/>
    <col min="18" max="18" width="13" style="66" hidden="1" customWidth="1" outlineLevel="1"/>
    <col min="19" max="19" width="0" style="67" hidden="1" customWidth="1" outlineLevel="1"/>
    <col min="20" max="20" width="9.140625" style="67" collapsed="1"/>
    <col min="21" max="16384" width="9.140625" style="67"/>
  </cols>
  <sheetData>
    <row r="1" spans="1:19" ht="21.75" customHeight="1">
      <c r="L1" s="105" t="s">
        <v>453</v>
      </c>
    </row>
    <row r="2" spans="1:19" ht="21.75" customHeight="1">
      <c r="L2" s="106" t="s">
        <v>454</v>
      </c>
    </row>
    <row r="3" spans="1:19" ht="21.75" customHeight="1">
      <c r="L3" s="106" t="s">
        <v>455</v>
      </c>
    </row>
    <row r="4" spans="1:19" ht="21.75" customHeight="1">
      <c r="L4" s="106"/>
    </row>
    <row r="5" spans="1:19" ht="21.75" customHeight="1">
      <c r="J5" s="137" t="s">
        <v>471</v>
      </c>
      <c r="K5" s="137"/>
      <c r="L5" s="137"/>
    </row>
    <row r="6" spans="1:19" ht="21.75" customHeight="1">
      <c r="L6" s="106"/>
    </row>
    <row r="7" spans="1:19" ht="34.5" customHeight="1">
      <c r="A7" s="138" t="s">
        <v>474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</row>
    <row r="8" spans="1:19" ht="33.950000000000003" customHeight="1">
      <c r="A8" s="141" t="s">
        <v>0</v>
      </c>
      <c r="B8" s="135" t="s">
        <v>461</v>
      </c>
      <c r="C8" s="135" t="s">
        <v>2</v>
      </c>
      <c r="D8" s="135" t="s">
        <v>462</v>
      </c>
      <c r="E8" s="135" t="s">
        <v>3</v>
      </c>
      <c r="F8" s="135" t="s">
        <v>463</v>
      </c>
      <c r="G8" s="135" t="s">
        <v>464</v>
      </c>
      <c r="H8" s="135" t="s">
        <v>465</v>
      </c>
      <c r="I8" s="135" t="s">
        <v>6</v>
      </c>
      <c r="J8" s="135" t="s">
        <v>466</v>
      </c>
      <c r="K8" s="136" t="s">
        <v>467</v>
      </c>
      <c r="L8" s="134" t="s">
        <v>468</v>
      </c>
      <c r="N8" s="78"/>
    </row>
    <row r="9" spans="1:19" ht="40.5" customHeight="1">
      <c r="A9" s="141"/>
      <c r="B9" s="135"/>
      <c r="C9" s="135"/>
      <c r="D9" s="135"/>
      <c r="E9" s="135"/>
      <c r="F9" s="135"/>
      <c r="G9" s="135"/>
      <c r="H9" s="135"/>
      <c r="I9" s="135"/>
      <c r="J9" s="135"/>
      <c r="K9" s="136"/>
      <c r="L9" s="134"/>
      <c r="N9" s="78"/>
    </row>
    <row r="10" spans="1:19" s="82" customFormat="1" ht="18" customHeight="1">
      <c r="A10" s="80">
        <v>1</v>
      </c>
      <c r="B10" s="80">
        <v>2</v>
      </c>
      <c r="C10" s="81"/>
      <c r="D10" s="80">
        <v>3</v>
      </c>
      <c r="E10" s="80">
        <v>4</v>
      </c>
      <c r="F10" s="80">
        <v>5</v>
      </c>
      <c r="G10" s="80">
        <v>6</v>
      </c>
      <c r="H10" s="80">
        <v>7</v>
      </c>
      <c r="I10" s="80">
        <v>8</v>
      </c>
      <c r="J10" s="80">
        <v>9</v>
      </c>
      <c r="K10" s="80">
        <v>10</v>
      </c>
      <c r="L10" s="80">
        <v>11</v>
      </c>
      <c r="Q10" s="82" t="s">
        <v>578</v>
      </c>
      <c r="S10" s="82" t="s">
        <v>579</v>
      </c>
    </row>
    <row r="11" spans="1:19" ht="35.1" customHeight="1">
      <c r="A11" s="71">
        <v>1</v>
      </c>
      <c r="B11" s="72" t="s">
        <v>7</v>
      </c>
      <c r="C11" s="72" t="s">
        <v>8</v>
      </c>
      <c r="D11" s="72" t="s">
        <v>8</v>
      </c>
      <c r="E11" s="126">
        <v>1069838</v>
      </c>
      <c r="F11" s="73" t="s">
        <v>9</v>
      </c>
      <c r="G11" s="73" t="s">
        <v>10</v>
      </c>
      <c r="H11" s="76">
        <v>1</v>
      </c>
      <c r="I11" s="74" t="s">
        <v>473</v>
      </c>
      <c r="J11" s="71" t="s">
        <v>11</v>
      </c>
      <c r="K11" s="77">
        <v>292</v>
      </c>
      <c r="L11" s="77">
        <f>K11*H11</f>
        <v>292</v>
      </c>
      <c r="M11" s="67">
        <v>266.67</v>
      </c>
      <c r="N11" s="122">
        <f>K11/M11-1</f>
        <v>9.4986312671091477E-2</v>
      </c>
      <c r="Q11" s="123" t="s">
        <v>482</v>
      </c>
      <c r="R11" s="67"/>
      <c r="S11" s="67">
        <v>1069838</v>
      </c>
    </row>
    <row r="12" spans="1:19" ht="35.1" customHeight="1">
      <c r="A12" s="71">
        <v>2</v>
      </c>
      <c r="B12" s="72" t="s">
        <v>12</v>
      </c>
      <c r="C12" s="72" t="s">
        <v>13</v>
      </c>
      <c r="D12" s="72" t="s">
        <v>13</v>
      </c>
      <c r="E12" s="126">
        <v>1044477</v>
      </c>
      <c r="F12" s="73" t="s">
        <v>9</v>
      </c>
      <c r="G12" s="73" t="s">
        <v>10</v>
      </c>
      <c r="H12" s="76">
        <v>1</v>
      </c>
      <c r="I12" s="74" t="s">
        <v>473</v>
      </c>
      <c r="J12" s="71" t="s">
        <v>11</v>
      </c>
      <c r="K12" s="77">
        <v>1207</v>
      </c>
      <c r="L12" s="77">
        <f t="shared" ref="L12:L74" si="0">K12*H12</f>
        <v>1207</v>
      </c>
      <c r="M12" s="67">
        <v>1104.22</v>
      </c>
      <c r="N12" s="122">
        <f t="shared" ref="N12:N75" si="1">K12/M12-1</f>
        <v>9.3079277680172323E-2</v>
      </c>
      <c r="Q12" s="123" t="s">
        <v>483</v>
      </c>
      <c r="R12" s="67"/>
      <c r="S12" s="67">
        <v>1044477</v>
      </c>
    </row>
    <row r="13" spans="1:19" ht="35.1" customHeight="1">
      <c r="A13" s="71">
        <v>3</v>
      </c>
      <c r="B13" s="72" t="s">
        <v>14</v>
      </c>
      <c r="C13" s="72" t="s">
        <v>15</v>
      </c>
      <c r="D13" s="72" t="s">
        <v>15</v>
      </c>
      <c r="E13" s="126">
        <v>1086865</v>
      </c>
      <c r="F13" s="73" t="s">
        <v>9</v>
      </c>
      <c r="G13" s="73" t="s">
        <v>10</v>
      </c>
      <c r="H13" s="76">
        <v>1</v>
      </c>
      <c r="I13" s="74" t="s">
        <v>473</v>
      </c>
      <c r="J13" s="71" t="s">
        <v>11</v>
      </c>
      <c r="K13" s="77">
        <v>1207</v>
      </c>
      <c r="L13" s="77">
        <f t="shared" si="0"/>
        <v>1207</v>
      </c>
      <c r="M13" s="67">
        <v>1104.22</v>
      </c>
      <c r="N13" s="122">
        <f t="shared" si="1"/>
        <v>9.3079277680172323E-2</v>
      </c>
      <c r="Q13" s="123" t="s">
        <v>484</v>
      </c>
      <c r="R13" s="67"/>
      <c r="S13" s="67">
        <v>1086865</v>
      </c>
    </row>
    <row r="14" spans="1:19" ht="35.1" customHeight="1">
      <c r="A14" s="71">
        <v>4</v>
      </c>
      <c r="B14" s="72" t="s">
        <v>16</v>
      </c>
      <c r="C14" s="72" t="s">
        <v>17</v>
      </c>
      <c r="D14" s="72" t="s">
        <v>17</v>
      </c>
      <c r="E14" s="127">
        <v>846966</v>
      </c>
      <c r="F14" s="73" t="s">
        <v>9</v>
      </c>
      <c r="G14" s="73" t="s">
        <v>10</v>
      </c>
      <c r="H14" s="76">
        <v>1</v>
      </c>
      <c r="I14" s="74" t="s">
        <v>473</v>
      </c>
      <c r="J14" s="71" t="s">
        <v>11</v>
      </c>
      <c r="K14" s="77">
        <v>17699</v>
      </c>
      <c r="L14" s="77">
        <f t="shared" si="0"/>
        <v>17699</v>
      </c>
      <c r="M14" s="67">
        <v>15996.07</v>
      </c>
      <c r="N14" s="122">
        <f t="shared" si="1"/>
        <v>0.10645927405919076</v>
      </c>
      <c r="Q14" s="123" t="s">
        <v>485</v>
      </c>
      <c r="R14" s="67"/>
      <c r="S14" s="67">
        <v>846966</v>
      </c>
    </row>
    <row r="15" spans="1:19" ht="35.1" customHeight="1">
      <c r="A15" s="71">
        <v>5</v>
      </c>
      <c r="B15" s="72" t="s">
        <v>18</v>
      </c>
      <c r="C15" s="72" t="s">
        <v>19</v>
      </c>
      <c r="D15" s="72" t="s">
        <v>19</v>
      </c>
      <c r="E15" s="128">
        <v>976408</v>
      </c>
      <c r="F15" s="73" t="s">
        <v>9</v>
      </c>
      <c r="G15" s="73" t="s">
        <v>10</v>
      </c>
      <c r="H15" s="76">
        <v>1</v>
      </c>
      <c r="I15" s="74" t="s">
        <v>473</v>
      </c>
      <c r="J15" s="71" t="s">
        <v>11</v>
      </c>
      <c r="K15" s="77">
        <v>73274</v>
      </c>
      <c r="L15" s="77">
        <f t="shared" si="0"/>
        <v>73274</v>
      </c>
      <c r="M15" s="67">
        <v>66510.67</v>
      </c>
      <c r="N15" s="122">
        <f t="shared" si="1"/>
        <v>0.10168789458894345</v>
      </c>
      <c r="Q15" s="123" t="s">
        <v>486</v>
      </c>
      <c r="R15" s="67"/>
      <c r="S15" s="67">
        <v>976408</v>
      </c>
    </row>
    <row r="16" spans="1:19" ht="35.1" customHeight="1">
      <c r="A16" s="71">
        <v>6</v>
      </c>
      <c r="B16" s="72" t="s">
        <v>20</v>
      </c>
      <c r="C16" s="72" t="s">
        <v>21</v>
      </c>
      <c r="D16" s="72" t="s">
        <v>21</v>
      </c>
      <c r="E16" s="128">
        <v>1285639</v>
      </c>
      <c r="F16" s="73" t="s">
        <v>9</v>
      </c>
      <c r="G16" s="73" t="s">
        <v>10</v>
      </c>
      <c r="H16" s="76">
        <v>8</v>
      </c>
      <c r="I16" s="74" t="s">
        <v>473</v>
      </c>
      <c r="J16" s="71" t="s">
        <v>11</v>
      </c>
      <c r="K16" s="77">
        <v>18136</v>
      </c>
      <c r="L16" s="77">
        <f t="shared" si="0"/>
        <v>145088</v>
      </c>
      <c r="M16" s="67">
        <v>16495.7</v>
      </c>
      <c r="N16" s="122">
        <f t="shared" si="1"/>
        <v>9.9438035366792521E-2</v>
      </c>
      <c r="Q16" s="123" t="s">
        <v>487</v>
      </c>
      <c r="R16" s="67"/>
      <c r="S16" s="67">
        <v>1285639</v>
      </c>
    </row>
    <row r="17" spans="1:19" ht="35.1" customHeight="1">
      <c r="A17" s="71">
        <v>7</v>
      </c>
      <c r="B17" s="72" t="s">
        <v>22</v>
      </c>
      <c r="C17" s="72" t="s">
        <v>23</v>
      </c>
      <c r="D17" s="72" t="s">
        <v>23</v>
      </c>
      <c r="E17" s="131">
        <v>1046986</v>
      </c>
      <c r="F17" s="73" t="s">
        <v>9</v>
      </c>
      <c r="G17" s="73" t="s">
        <v>10</v>
      </c>
      <c r="H17" s="76">
        <v>10</v>
      </c>
      <c r="I17" s="74" t="s">
        <v>473</v>
      </c>
      <c r="J17" s="71" t="s">
        <v>11</v>
      </c>
      <c r="K17" s="77">
        <v>536</v>
      </c>
      <c r="L17" s="77">
        <f t="shared" si="0"/>
        <v>5360</v>
      </c>
      <c r="M17" s="67">
        <v>484.15</v>
      </c>
      <c r="N17" s="122">
        <f t="shared" si="1"/>
        <v>0.10709490860270576</v>
      </c>
      <c r="Q17" s="123" t="s">
        <v>488</v>
      </c>
      <c r="R17" s="67"/>
      <c r="S17" s="67" t="str">
        <f>Q17</f>
        <v>1046986</v>
      </c>
    </row>
    <row r="18" spans="1:19" ht="35.1" customHeight="1">
      <c r="A18" s="71">
        <v>8</v>
      </c>
      <c r="B18" s="72" t="s">
        <v>24</v>
      </c>
      <c r="C18" s="72" t="s">
        <v>25</v>
      </c>
      <c r="D18" s="72" t="s">
        <v>25</v>
      </c>
      <c r="E18" s="127">
        <v>1186478</v>
      </c>
      <c r="F18" s="73" t="s">
        <v>9</v>
      </c>
      <c r="G18" s="73" t="s">
        <v>10</v>
      </c>
      <c r="H18" s="76">
        <v>1</v>
      </c>
      <c r="I18" s="74" t="s">
        <v>473</v>
      </c>
      <c r="J18" s="71" t="s">
        <v>11</v>
      </c>
      <c r="K18" s="77">
        <v>7735</v>
      </c>
      <c r="L18" s="77">
        <f t="shared" si="0"/>
        <v>7735</v>
      </c>
      <c r="M18" s="67">
        <v>7074.52</v>
      </c>
      <c r="N18" s="122">
        <f t="shared" si="1"/>
        <v>9.3360397595879219E-2</v>
      </c>
      <c r="Q18" s="123" t="s">
        <v>489</v>
      </c>
      <c r="R18" s="67"/>
      <c r="S18" s="67">
        <v>1186478</v>
      </c>
    </row>
    <row r="19" spans="1:19" ht="35.1" customHeight="1">
      <c r="A19" s="71">
        <v>9</v>
      </c>
      <c r="B19" s="72" t="s">
        <v>26</v>
      </c>
      <c r="C19" s="72" t="s">
        <v>27</v>
      </c>
      <c r="D19" s="72" t="s">
        <v>27</v>
      </c>
      <c r="E19" s="129">
        <v>1430666</v>
      </c>
      <c r="F19" s="73" t="s">
        <v>9</v>
      </c>
      <c r="G19" s="73" t="s">
        <v>10</v>
      </c>
      <c r="H19" s="76">
        <v>2</v>
      </c>
      <c r="I19" s="74" t="s">
        <v>473</v>
      </c>
      <c r="J19" s="71" t="s">
        <v>11</v>
      </c>
      <c r="K19" s="77">
        <v>1073922</v>
      </c>
      <c r="L19" s="77">
        <f t="shared" si="0"/>
        <v>2147844</v>
      </c>
      <c r="M19" s="67">
        <v>970614.37</v>
      </c>
      <c r="N19" s="122">
        <f t="shared" si="1"/>
        <v>0.1064352982946255</v>
      </c>
      <c r="Q19" s="123" t="e">
        <v>#N/A</v>
      </c>
      <c r="R19" s="125">
        <v>1430666</v>
      </c>
      <c r="S19" s="67">
        <f>R19</f>
        <v>1430666</v>
      </c>
    </row>
    <row r="20" spans="1:19" ht="35.1" customHeight="1">
      <c r="A20" s="71">
        <v>10</v>
      </c>
      <c r="B20" s="72" t="s">
        <v>28</v>
      </c>
      <c r="C20" s="72" t="s">
        <v>29</v>
      </c>
      <c r="D20" s="72" t="s">
        <v>29</v>
      </c>
      <c r="E20" s="127">
        <v>1286887</v>
      </c>
      <c r="F20" s="73" t="s">
        <v>9</v>
      </c>
      <c r="G20" s="73" t="s">
        <v>10</v>
      </c>
      <c r="H20" s="76">
        <v>1</v>
      </c>
      <c r="I20" s="74" t="s">
        <v>473</v>
      </c>
      <c r="J20" s="71" t="s">
        <v>11</v>
      </c>
      <c r="K20" s="77">
        <v>150503</v>
      </c>
      <c r="L20" s="77">
        <f t="shared" si="0"/>
        <v>150503</v>
      </c>
      <c r="M20" s="67">
        <v>136611.85</v>
      </c>
      <c r="N20" s="122">
        <f t="shared" si="1"/>
        <v>0.10168334591764916</v>
      </c>
      <c r="Q20" s="123" t="s">
        <v>490</v>
      </c>
      <c r="R20" s="67"/>
      <c r="S20" s="67">
        <v>1286887</v>
      </c>
    </row>
    <row r="21" spans="1:19" ht="35.1" customHeight="1">
      <c r="A21" s="71">
        <v>11</v>
      </c>
      <c r="B21" s="72" t="s">
        <v>30</v>
      </c>
      <c r="C21" s="72" t="s">
        <v>31</v>
      </c>
      <c r="D21" s="72" t="s">
        <v>31</v>
      </c>
      <c r="E21" s="127">
        <v>1059556</v>
      </c>
      <c r="F21" s="73" t="s">
        <v>9</v>
      </c>
      <c r="G21" s="73" t="s">
        <v>10</v>
      </c>
      <c r="H21" s="76">
        <v>8</v>
      </c>
      <c r="I21" s="74" t="s">
        <v>473</v>
      </c>
      <c r="J21" s="71" t="s">
        <v>11</v>
      </c>
      <c r="K21" s="77">
        <v>218974</v>
      </c>
      <c r="L21" s="77">
        <f t="shared" si="0"/>
        <v>1751792</v>
      </c>
      <c r="M21" s="67">
        <v>199550.96</v>
      </c>
      <c r="N21" s="122">
        <f t="shared" si="1"/>
        <v>9.7333733698900859E-2</v>
      </c>
      <c r="Q21" s="123" t="s">
        <v>491</v>
      </c>
      <c r="R21" s="67"/>
      <c r="S21" s="67">
        <v>1059556</v>
      </c>
    </row>
    <row r="22" spans="1:19" ht="35.1" customHeight="1">
      <c r="A22" s="71">
        <v>12</v>
      </c>
      <c r="B22" s="72" t="s">
        <v>32</v>
      </c>
      <c r="C22" s="72" t="s">
        <v>33</v>
      </c>
      <c r="D22" s="72" t="s">
        <v>33</v>
      </c>
      <c r="E22" s="127">
        <v>1285640</v>
      </c>
      <c r="F22" s="73" t="s">
        <v>9</v>
      </c>
      <c r="G22" s="73" t="s">
        <v>10</v>
      </c>
      <c r="H22" s="76">
        <v>2</v>
      </c>
      <c r="I22" s="74" t="s">
        <v>473</v>
      </c>
      <c r="J22" s="71" t="s">
        <v>11</v>
      </c>
      <c r="K22" s="77">
        <v>167093</v>
      </c>
      <c r="L22" s="77">
        <f t="shared" si="0"/>
        <v>334186</v>
      </c>
      <c r="M22" s="67">
        <v>151019.26</v>
      </c>
      <c r="N22" s="122">
        <f t="shared" si="1"/>
        <v>0.10643503351824135</v>
      </c>
      <c r="Q22" s="123" t="s">
        <v>492</v>
      </c>
      <c r="R22" s="67"/>
      <c r="S22" s="67">
        <v>1285640</v>
      </c>
    </row>
    <row r="23" spans="1:19" ht="35.1" customHeight="1">
      <c r="A23" s="71">
        <v>13</v>
      </c>
      <c r="B23" s="72" t="s">
        <v>34</v>
      </c>
      <c r="C23" s="72" t="s">
        <v>35</v>
      </c>
      <c r="D23" s="72" t="s">
        <v>35</v>
      </c>
      <c r="E23" s="127">
        <v>1122955</v>
      </c>
      <c r="F23" s="73" t="s">
        <v>9</v>
      </c>
      <c r="G23" s="73" t="s">
        <v>10</v>
      </c>
      <c r="H23" s="76">
        <v>4</v>
      </c>
      <c r="I23" s="74" t="s">
        <v>473</v>
      </c>
      <c r="J23" s="71" t="s">
        <v>11</v>
      </c>
      <c r="K23" s="77">
        <v>50704</v>
      </c>
      <c r="L23" s="77">
        <f t="shared" si="0"/>
        <v>202816</v>
      </c>
      <c r="M23" s="67">
        <v>46024</v>
      </c>
      <c r="N23" s="122">
        <f t="shared" si="1"/>
        <v>0.10168607682948028</v>
      </c>
      <c r="Q23" s="123" t="s">
        <v>493</v>
      </c>
      <c r="R23" s="67"/>
      <c r="S23" s="67">
        <v>1122955</v>
      </c>
    </row>
    <row r="24" spans="1:19" ht="35.1" customHeight="1">
      <c r="A24" s="71">
        <v>14</v>
      </c>
      <c r="B24" s="72" t="s">
        <v>36</v>
      </c>
      <c r="C24" s="72" t="s">
        <v>37</v>
      </c>
      <c r="D24" s="72" t="s">
        <v>37</v>
      </c>
      <c r="E24" s="131">
        <v>975805</v>
      </c>
      <c r="F24" s="73" t="s">
        <v>9</v>
      </c>
      <c r="G24" s="73" t="s">
        <v>10</v>
      </c>
      <c r="H24" s="76">
        <v>6</v>
      </c>
      <c r="I24" s="74" t="s">
        <v>473</v>
      </c>
      <c r="J24" s="71" t="s">
        <v>11</v>
      </c>
      <c r="K24" s="77">
        <v>40389</v>
      </c>
      <c r="L24" s="77">
        <f t="shared" si="0"/>
        <v>242334</v>
      </c>
      <c r="M24" s="67">
        <v>36503.33</v>
      </c>
      <c r="N24" s="122">
        <f t="shared" si="1"/>
        <v>0.10644700086266101</v>
      </c>
      <c r="Q24" s="123" t="s">
        <v>494</v>
      </c>
      <c r="R24" s="67"/>
      <c r="S24" s="67" t="str">
        <f t="shared" ref="S24:S29" si="2">Q24</f>
        <v>975805</v>
      </c>
    </row>
    <row r="25" spans="1:19" ht="35.1" customHeight="1">
      <c r="A25" s="71">
        <v>15</v>
      </c>
      <c r="B25" s="72" t="s">
        <v>38</v>
      </c>
      <c r="C25" s="72" t="s">
        <v>39</v>
      </c>
      <c r="D25" s="72" t="s">
        <v>39</v>
      </c>
      <c r="E25" s="131">
        <v>975802</v>
      </c>
      <c r="F25" s="73" t="s">
        <v>9</v>
      </c>
      <c r="G25" s="73" t="s">
        <v>10</v>
      </c>
      <c r="H25" s="76">
        <v>12</v>
      </c>
      <c r="I25" s="74" t="s">
        <v>473</v>
      </c>
      <c r="J25" s="71" t="s">
        <v>11</v>
      </c>
      <c r="K25" s="77">
        <v>8871</v>
      </c>
      <c r="L25" s="77">
        <f t="shared" si="0"/>
        <v>106452</v>
      </c>
      <c r="M25" s="67">
        <v>8077.78</v>
      </c>
      <c r="N25" s="122">
        <f t="shared" si="1"/>
        <v>9.819777216017278E-2</v>
      </c>
      <c r="Q25" s="123" t="s">
        <v>495</v>
      </c>
      <c r="R25" s="67"/>
      <c r="S25" s="67" t="str">
        <f t="shared" si="2"/>
        <v>975802</v>
      </c>
    </row>
    <row r="26" spans="1:19" ht="35.1" customHeight="1">
      <c r="A26" s="71">
        <v>16</v>
      </c>
      <c r="B26" s="72" t="s">
        <v>40</v>
      </c>
      <c r="C26" s="72" t="s">
        <v>41</v>
      </c>
      <c r="D26" s="72" t="s">
        <v>41</v>
      </c>
      <c r="E26" s="131">
        <v>1230356</v>
      </c>
      <c r="F26" s="73" t="s">
        <v>9</v>
      </c>
      <c r="G26" s="73" t="s">
        <v>10</v>
      </c>
      <c r="H26" s="76">
        <v>6</v>
      </c>
      <c r="I26" s="74" t="s">
        <v>473</v>
      </c>
      <c r="J26" s="71" t="s">
        <v>11</v>
      </c>
      <c r="K26" s="77">
        <v>1653</v>
      </c>
      <c r="L26" s="77">
        <f t="shared" si="0"/>
        <v>9918</v>
      </c>
      <c r="M26" s="67">
        <v>1503.7</v>
      </c>
      <c r="N26" s="122">
        <f t="shared" si="1"/>
        <v>9.9288421892664624E-2</v>
      </c>
      <c r="Q26" s="123" t="s">
        <v>496</v>
      </c>
      <c r="R26" s="67"/>
      <c r="S26" s="67" t="str">
        <f t="shared" si="2"/>
        <v>1230356</v>
      </c>
    </row>
    <row r="27" spans="1:19" ht="35.1" customHeight="1">
      <c r="A27" s="71">
        <v>17</v>
      </c>
      <c r="B27" s="72" t="s">
        <v>42</v>
      </c>
      <c r="C27" s="72" t="s">
        <v>43</v>
      </c>
      <c r="D27" s="72" t="s">
        <v>43</v>
      </c>
      <c r="E27" s="131">
        <v>975801</v>
      </c>
      <c r="F27" s="73" t="s">
        <v>9</v>
      </c>
      <c r="G27" s="73" t="s">
        <v>10</v>
      </c>
      <c r="H27" s="76">
        <v>6</v>
      </c>
      <c r="I27" s="74" t="s">
        <v>473</v>
      </c>
      <c r="J27" s="71" t="s">
        <v>11</v>
      </c>
      <c r="K27" s="77">
        <v>21122</v>
      </c>
      <c r="L27" s="77">
        <f t="shared" si="0"/>
        <v>126732</v>
      </c>
      <c r="M27" s="67">
        <v>19172.740000000002</v>
      </c>
      <c r="N27" s="122">
        <f t="shared" si="1"/>
        <v>0.10166830614716504</v>
      </c>
      <c r="Q27" s="123" t="s">
        <v>497</v>
      </c>
      <c r="R27" s="67"/>
      <c r="S27" s="67" t="str">
        <f t="shared" si="2"/>
        <v>975801</v>
      </c>
    </row>
    <row r="28" spans="1:19" ht="35.1" customHeight="1">
      <c r="A28" s="71">
        <v>18</v>
      </c>
      <c r="B28" s="72" t="s">
        <v>44</v>
      </c>
      <c r="C28" s="72" t="s">
        <v>45</v>
      </c>
      <c r="D28" s="72" t="s">
        <v>45</v>
      </c>
      <c r="E28" s="131">
        <v>1045628</v>
      </c>
      <c r="F28" s="73" t="s">
        <v>9</v>
      </c>
      <c r="G28" s="73" t="s">
        <v>10</v>
      </c>
      <c r="H28" s="76">
        <v>48</v>
      </c>
      <c r="I28" s="74" t="s">
        <v>473</v>
      </c>
      <c r="J28" s="71" t="s">
        <v>11</v>
      </c>
      <c r="K28" s="77">
        <v>8</v>
      </c>
      <c r="L28" s="77">
        <f t="shared" si="0"/>
        <v>384</v>
      </c>
      <c r="M28" s="67">
        <v>7.56</v>
      </c>
      <c r="N28" s="122">
        <f t="shared" si="1"/>
        <v>5.8201058201058364E-2</v>
      </c>
      <c r="Q28" s="123" t="s">
        <v>498</v>
      </c>
      <c r="R28" s="67"/>
      <c r="S28" s="67" t="str">
        <f t="shared" si="2"/>
        <v>1045628</v>
      </c>
    </row>
    <row r="29" spans="1:19" ht="35.1" customHeight="1">
      <c r="A29" s="71">
        <v>19</v>
      </c>
      <c r="B29" s="72" t="s">
        <v>46</v>
      </c>
      <c r="C29" s="72" t="s">
        <v>47</v>
      </c>
      <c r="D29" s="72" t="s">
        <v>47</v>
      </c>
      <c r="E29" s="131">
        <v>975807</v>
      </c>
      <c r="F29" s="73" t="s">
        <v>9</v>
      </c>
      <c r="G29" s="73" t="s">
        <v>10</v>
      </c>
      <c r="H29" s="76">
        <v>24</v>
      </c>
      <c r="I29" s="74" t="s">
        <v>473</v>
      </c>
      <c r="J29" s="71" t="s">
        <v>11</v>
      </c>
      <c r="K29" s="77">
        <v>62</v>
      </c>
      <c r="L29" s="77">
        <f t="shared" si="0"/>
        <v>1488</v>
      </c>
      <c r="M29" s="67">
        <v>56.74</v>
      </c>
      <c r="N29" s="122">
        <f t="shared" si="1"/>
        <v>9.2703560098695847E-2</v>
      </c>
      <c r="Q29" s="123" t="s">
        <v>499</v>
      </c>
      <c r="R29" s="67"/>
      <c r="S29" s="67" t="str">
        <f t="shared" si="2"/>
        <v>975807</v>
      </c>
    </row>
    <row r="30" spans="1:19" ht="35.1" customHeight="1">
      <c r="A30" s="71">
        <v>20</v>
      </c>
      <c r="B30" s="72" t="s">
        <v>48</v>
      </c>
      <c r="C30" s="72" t="s">
        <v>49</v>
      </c>
      <c r="D30" s="72" t="s">
        <v>49</v>
      </c>
      <c r="E30" s="127">
        <v>1079935</v>
      </c>
      <c r="F30" s="73" t="s">
        <v>9</v>
      </c>
      <c r="G30" s="73" t="s">
        <v>10</v>
      </c>
      <c r="H30" s="76">
        <v>2</v>
      </c>
      <c r="I30" s="74" t="s">
        <v>473</v>
      </c>
      <c r="J30" s="71" t="s">
        <v>11</v>
      </c>
      <c r="K30" s="77">
        <v>188276</v>
      </c>
      <c r="L30" s="77">
        <f t="shared" si="0"/>
        <v>376552</v>
      </c>
      <c r="M30" s="67">
        <v>170611.78</v>
      </c>
      <c r="N30" s="122">
        <f t="shared" si="1"/>
        <v>0.10353458594711329</v>
      </c>
      <c r="Q30" s="123" t="s">
        <v>500</v>
      </c>
      <c r="R30" s="67"/>
      <c r="S30" s="67">
        <v>1079935</v>
      </c>
    </row>
    <row r="31" spans="1:19" ht="35.1" customHeight="1">
      <c r="A31" s="71">
        <v>21</v>
      </c>
      <c r="B31" s="72" t="s">
        <v>50</v>
      </c>
      <c r="C31" s="72" t="s">
        <v>51</v>
      </c>
      <c r="D31" s="72" t="s">
        <v>51</v>
      </c>
      <c r="E31" s="131">
        <v>975767</v>
      </c>
      <c r="F31" s="73" t="s">
        <v>9</v>
      </c>
      <c r="G31" s="73" t="s">
        <v>10</v>
      </c>
      <c r="H31" s="76">
        <v>6</v>
      </c>
      <c r="I31" s="74" t="s">
        <v>473</v>
      </c>
      <c r="J31" s="71" t="s">
        <v>11</v>
      </c>
      <c r="K31" s="77">
        <v>21894</v>
      </c>
      <c r="L31" s="77">
        <f t="shared" si="0"/>
        <v>131364</v>
      </c>
      <c r="M31" s="67">
        <v>19872.810000000001</v>
      </c>
      <c r="N31" s="122">
        <f t="shared" si="1"/>
        <v>0.10170630122262514</v>
      </c>
      <c r="Q31" s="123" t="s">
        <v>501</v>
      </c>
      <c r="R31" s="67"/>
      <c r="S31" s="67" t="str">
        <f>Q31</f>
        <v>975767</v>
      </c>
    </row>
    <row r="32" spans="1:19" ht="35.1" customHeight="1">
      <c r="A32" s="71">
        <v>22</v>
      </c>
      <c r="B32" s="72" t="s">
        <v>50</v>
      </c>
      <c r="C32" s="72" t="s">
        <v>52</v>
      </c>
      <c r="D32" s="72" t="s">
        <v>52</v>
      </c>
      <c r="E32" s="131">
        <v>975769</v>
      </c>
      <c r="F32" s="73" t="s">
        <v>9</v>
      </c>
      <c r="G32" s="73" t="s">
        <v>10</v>
      </c>
      <c r="H32" s="76">
        <v>6</v>
      </c>
      <c r="I32" s="74" t="s">
        <v>473</v>
      </c>
      <c r="J32" s="71" t="s">
        <v>11</v>
      </c>
      <c r="K32" s="77">
        <v>18831</v>
      </c>
      <c r="L32" s="77">
        <f t="shared" si="0"/>
        <v>112986</v>
      </c>
      <c r="M32" s="67">
        <v>17093.259999999998</v>
      </c>
      <c r="N32" s="122">
        <f t="shared" si="1"/>
        <v>0.10166229262294046</v>
      </c>
      <c r="Q32" s="123" t="s">
        <v>502</v>
      </c>
      <c r="R32" s="67"/>
      <c r="S32" s="67" t="str">
        <f>Q32</f>
        <v>975769</v>
      </c>
    </row>
    <row r="33" spans="1:19" ht="35.1" customHeight="1">
      <c r="A33" s="71">
        <v>23</v>
      </c>
      <c r="B33" s="72" t="s">
        <v>53</v>
      </c>
      <c r="C33" s="72" t="s">
        <v>54</v>
      </c>
      <c r="D33" s="72" t="s">
        <v>54</v>
      </c>
      <c r="E33" s="129">
        <v>1430667</v>
      </c>
      <c r="F33" s="73" t="s">
        <v>9</v>
      </c>
      <c r="G33" s="73" t="s">
        <v>10</v>
      </c>
      <c r="H33" s="76">
        <v>48</v>
      </c>
      <c r="I33" s="74" t="s">
        <v>473</v>
      </c>
      <c r="J33" s="71" t="s">
        <v>11</v>
      </c>
      <c r="K33" s="77">
        <v>50</v>
      </c>
      <c r="L33" s="77">
        <f t="shared" si="0"/>
        <v>2400</v>
      </c>
      <c r="M33" s="67">
        <v>45.41</v>
      </c>
      <c r="N33" s="122">
        <f t="shared" si="1"/>
        <v>0.10107905747632695</v>
      </c>
      <c r="Q33" s="123" t="e">
        <v>#N/A</v>
      </c>
      <c r="R33" s="125">
        <v>1430667</v>
      </c>
      <c r="S33" s="67">
        <f>R33</f>
        <v>1430667</v>
      </c>
    </row>
    <row r="34" spans="1:19" ht="35.1" customHeight="1">
      <c r="A34" s="71">
        <v>24</v>
      </c>
      <c r="B34" s="72" t="s">
        <v>55</v>
      </c>
      <c r="C34" s="72" t="s">
        <v>56</v>
      </c>
      <c r="D34" s="72" t="s">
        <v>56</v>
      </c>
      <c r="E34" s="131">
        <v>975803</v>
      </c>
      <c r="F34" s="73" t="s">
        <v>9</v>
      </c>
      <c r="G34" s="73" t="s">
        <v>10</v>
      </c>
      <c r="H34" s="76">
        <v>12</v>
      </c>
      <c r="I34" s="74" t="s">
        <v>473</v>
      </c>
      <c r="J34" s="71" t="s">
        <v>11</v>
      </c>
      <c r="K34" s="77">
        <v>134</v>
      </c>
      <c r="L34" s="77">
        <f t="shared" si="0"/>
        <v>1608</v>
      </c>
      <c r="M34" s="67">
        <v>122.07</v>
      </c>
      <c r="N34" s="122">
        <f t="shared" si="1"/>
        <v>9.773081019087404E-2</v>
      </c>
      <c r="Q34" s="123" t="s">
        <v>503</v>
      </c>
      <c r="R34" s="67"/>
      <c r="S34" s="67" t="str">
        <f t="shared" ref="S34:S39" si="3">Q34</f>
        <v>975803</v>
      </c>
    </row>
    <row r="35" spans="1:19" ht="35.1" customHeight="1">
      <c r="A35" s="71">
        <v>25</v>
      </c>
      <c r="B35" s="72" t="s">
        <v>57</v>
      </c>
      <c r="C35" s="79" t="s">
        <v>445</v>
      </c>
      <c r="D35" s="79" t="s">
        <v>58</v>
      </c>
      <c r="E35" s="131">
        <v>1145049</v>
      </c>
      <c r="F35" s="73" t="s">
        <v>9</v>
      </c>
      <c r="G35" s="73" t="s">
        <v>10</v>
      </c>
      <c r="H35" s="76">
        <v>1</v>
      </c>
      <c r="I35" s="74" t="s">
        <v>473</v>
      </c>
      <c r="J35" s="71" t="s">
        <v>11</v>
      </c>
      <c r="K35" s="77">
        <v>490765</v>
      </c>
      <c r="L35" s="77">
        <f t="shared" si="0"/>
        <v>490765</v>
      </c>
      <c r="M35" s="67">
        <v>445467.56</v>
      </c>
      <c r="N35" s="122">
        <f t="shared" si="1"/>
        <v>0.10168515974541448</v>
      </c>
      <c r="Q35" s="123" t="s">
        <v>504</v>
      </c>
      <c r="R35" s="67"/>
      <c r="S35" s="67" t="str">
        <f t="shared" si="3"/>
        <v>1145049</v>
      </c>
    </row>
    <row r="36" spans="1:19" ht="35.1" customHeight="1">
      <c r="A36" s="71">
        <v>26</v>
      </c>
      <c r="B36" s="72" t="s">
        <v>59</v>
      </c>
      <c r="C36" s="79" t="s">
        <v>444</v>
      </c>
      <c r="D36" s="79" t="s">
        <v>60</v>
      </c>
      <c r="E36" s="131">
        <v>1145356</v>
      </c>
      <c r="F36" s="73" t="s">
        <v>9</v>
      </c>
      <c r="G36" s="73" t="s">
        <v>10</v>
      </c>
      <c r="H36" s="76">
        <v>1</v>
      </c>
      <c r="I36" s="74" t="s">
        <v>473</v>
      </c>
      <c r="J36" s="71" t="s">
        <v>11</v>
      </c>
      <c r="K36" s="77">
        <v>763340</v>
      </c>
      <c r="L36" s="77">
        <f t="shared" si="0"/>
        <v>763340</v>
      </c>
      <c r="M36" s="67">
        <v>691723.7</v>
      </c>
      <c r="N36" s="122">
        <f t="shared" si="1"/>
        <v>0.1035331014392018</v>
      </c>
      <c r="Q36" s="123" t="s">
        <v>505</v>
      </c>
      <c r="R36" s="67"/>
      <c r="S36" s="67" t="str">
        <f t="shared" si="3"/>
        <v>1145356</v>
      </c>
    </row>
    <row r="37" spans="1:19" ht="35.1" customHeight="1">
      <c r="A37" s="71">
        <v>27</v>
      </c>
      <c r="B37" s="72" t="s">
        <v>61</v>
      </c>
      <c r="C37" s="72" t="s">
        <v>62</v>
      </c>
      <c r="D37" s="72" t="s">
        <v>62</v>
      </c>
      <c r="E37" s="131">
        <v>975766</v>
      </c>
      <c r="F37" s="73" t="s">
        <v>9</v>
      </c>
      <c r="G37" s="73" t="s">
        <v>10</v>
      </c>
      <c r="H37" s="76">
        <v>2</v>
      </c>
      <c r="I37" s="74" t="s">
        <v>473</v>
      </c>
      <c r="J37" s="71" t="s">
        <v>11</v>
      </c>
      <c r="K37" s="77">
        <v>23333</v>
      </c>
      <c r="L37" s="77">
        <f t="shared" si="0"/>
        <v>46666</v>
      </c>
      <c r="M37" s="67">
        <v>21230.52</v>
      </c>
      <c r="N37" s="122">
        <f t="shared" si="1"/>
        <v>9.9031017610496486E-2</v>
      </c>
      <c r="Q37" s="123" t="s">
        <v>506</v>
      </c>
      <c r="R37" s="67"/>
      <c r="S37" s="67" t="str">
        <f t="shared" si="3"/>
        <v>975766</v>
      </c>
    </row>
    <row r="38" spans="1:19" ht="35.1" customHeight="1">
      <c r="A38" s="71">
        <v>28</v>
      </c>
      <c r="B38" s="72" t="s">
        <v>44</v>
      </c>
      <c r="C38" s="72" t="s">
        <v>45</v>
      </c>
      <c r="D38" s="72" t="s">
        <v>45</v>
      </c>
      <c r="E38" s="131">
        <v>1045628</v>
      </c>
      <c r="F38" s="73" t="s">
        <v>9</v>
      </c>
      <c r="G38" s="73" t="s">
        <v>10</v>
      </c>
      <c r="H38" s="76">
        <v>16</v>
      </c>
      <c r="I38" s="74" t="s">
        <v>473</v>
      </c>
      <c r="J38" s="71" t="s">
        <v>11</v>
      </c>
      <c r="K38" s="77">
        <v>8</v>
      </c>
      <c r="L38" s="77">
        <f t="shared" si="0"/>
        <v>128</v>
      </c>
      <c r="M38" s="67">
        <v>7.56</v>
      </c>
      <c r="N38" s="122">
        <f t="shared" si="1"/>
        <v>5.8201058201058364E-2</v>
      </c>
      <c r="Q38" s="123" t="s">
        <v>498</v>
      </c>
      <c r="R38" s="67"/>
      <c r="S38" s="67" t="str">
        <f t="shared" si="3"/>
        <v>1045628</v>
      </c>
    </row>
    <row r="39" spans="1:19" ht="35.1" customHeight="1">
      <c r="A39" s="71">
        <v>29</v>
      </c>
      <c r="B39" s="72" t="s">
        <v>63</v>
      </c>
      <c r="C39" s="72" t="s">
        <v>64</v>
      </c>
      <c r="D39" s="72" t="s">
        <v>64</v>
      </c>
      <c r="E39" s="131">
        <v>1046996</v>
      </c>
      <c r="F39" s="73" t="s">
        <v>9</v>
      </c>
      <c r="G39" s="73" t="s">
        <v>10</v>
      </c>
      <c r="H39" s="76">
        <v>24</v>
      </c>
      <c r="I39" s="74" t="s">
        <v>473</v>
      </c>
      <c r="J39" s="71" t="s">
        <v>11</v>
      </c>
      <c r="K39" s="77">
        <v>8</v>
      </c>
      <c r="L39" s="77">
        <f t="shared" si="0"/>
        <v>192</v>
      </c>
      <c r="M39" s="67">
        <v>7.41</v>
      </c>
      <c r="N39" s="122">
        <f t="shared" si="1"/>
        <v>7.9622132253711175E-2</v>
      </c>
      <c r="Q39" s="123" t="s">
        <v>507</v>
      </c>
      <c r="R39" s="67"/>
      <c r="S39" s="67" t="str">
        <f t="shared" si="3"/>
        <v>1046996</v>
      </c>
    </row>
    <row r="40" spans="1:19" ht="35.1" customHeight="1">
      <c r="A40" s="71">
        <v>30</v>
      </c>
      <c r="B40" s="72" t="s">
        <v>65</v>
      </c>
      <c r="C40" s="72" t="s">
        <v>66</v>
      </c>
      <c r="D40" s="72" t="s">
        <v>66</v>
      </c>
      <c r="E40" s="129">
        <v>1430675</v>
      </c>
      <c r="F40" s="73" t="s">
        <v>9</v>
      </c>
      <c r="G40" s="73" t="s">
        <v>10</v>
      </c>
      <c r="H40" s="76">
        <v>8</v>
      </c>
      <c r="I40" s="74" t="s">
        <v>473</v>
      </c>
      <c r="J40" s="71" t="s">
        <v>11</v>
      </c>
      <c r="K40" s="77">
        <v>463</v>
      </c>
      <c r="L40" s="77">
        <f t="shared" si="0"/>
        <v>3704</v>
      </c>
      <c r="M40" s="67">
        <v>420.81</v>
      </c>
      <c r="N40" s="122">
        <f t="shared" si="1"/>
        <v>0.10025902426273148</v>
      </c>
      <c r="Q40" s="123" t="e">
        <v>#N/A</v>
      </c>
      <c r="R40" s="125">
        <v>1430675</v>
      </c>
      <c r="S40" s="67">
        <f>R40</f>
        <v>1430675</v>
      </c>
    </row>
    <row r="41" spans="1:19" ht="35.1" customHeight="1">
      <c r="A41" s="71">
        <v>31</v>
      </c>
      <c r="B41" s="72" t="s">
        <v>67</v>
      </c>
      <c r="C41" s="72" t="s">
        <v>68</v>
      </c>
      <c r="D41" s="72" t="s">
        <v>68</v>
      </c>
      <c r="E41" s="127">
        <v>889493</v>
      </c>
      <c r="F41" s="73" t="s">
        <v>9</v>
      </c>
      <c r="G41" s="73" t="s">
        <v>10</v>
      </c>
      <c r="H41" s="76">
        <v>4</v>
      </c>
      <c r="I41" s="74" t="s">
        <v>473</v>
      </c>
      <c r="J41" s="71" t="s">
        <v>11</v>
      </c>
      <c r="K41" s="77">
        <v>46428</v>
      </c>
      <c r="L41" s="77">
        <f t="shared" si="0"/>
        <v>185712</v>
      </c>
      <c r="M41" s="67">
        <v>42228.3</v>
      </c>
      <c r="N41" s="122">
        <f t="shared" si="1"/>
        <v>9.9452263055817891E-2</v>
      </c>
      <c r="Q41" s="123" t="s">
        <v>508</v>
      </c>
      <c r="R41" s="67"/>
      <c r="S41" s="67">
        <v>889493</v>
      </c>
    </row>
    <row r="42" spans="1:19" ht="35.1" customHeight="1">
      <c r="A42" s="71">
        <v>32</v>
      </c>
      <c r="B42" s="72" t="s">
        <v>69</v>
      </c>
      <c r="C42" s="79" t="s">
        <v>446</v>
      </c>
      <c r="D42" s="79" t="s">
        <v>70</v>
      </c>
      <c r="E42" s="131">
        <v>1368437</v>
      </c>
      <c r="F42" s="73" t="s">
        <v>9</v>
      </c>
      <c r="G42" s="73" t="s">
        <v>10</v>
      </c>
      <c r="H42" s="76">
        <v>5</v>
      </c>
      <c r="I42" s="74" t="s">
        <v>473</v>
      </c>
      <c r="J42" s="71" t="s">
        <v>11</v>
      </c>
      <c r="K42" s="77">
        <v>165383</v>
      </c>
      <c r="L42" s="77">
        <f t="shared" si="0"/>
        <v>826915</v>
      </c>
      <c r="M42" s="67">
        <v>150117.85</v>
      </c>
      <c r="N42" s="122">
        <f t="shared" si="1"/>
        <v>0.10168777397224904</v>
      </c>
      <c r="Q42" s="123" t="s">
        <v>509</v>
      </c>
      <c r="R42" s="67"/>
      <c r="S42" s="67" t="str">
        <f>Q42</f>
        <v>1368437</v>
      </c>
    </row>
    <row r="43" spans="1:19" ht="35.1" customHeight="1">
      <c r="A43" s="71">
        <v>33</v>
      </c>
      <c r="B43" s="72" t="s">
        <v>71</v>
      </c>
      <c r="C43" s="72" t="s">
        <v>72</v>
      </c>
      <c r="D43" s="72" t="s">
        <v>72</v>
      </c>
      <c r="E43" s="127">
        <v>889488</v>
      </c>
      <c r="F43" s="73" t="s">
        <v>9</v>
      </c>
      <c r="G43" s="73" t="s">
        <v>10</v>
      </c>
      <c r="H43" s="76">
        <v>4</v>
      </c>
      <c r="I43" s="74" t="s">
        <v>473</v>
      </c>
      <c r="J43" s="71" t="s">
        <v>11</v>
      </c>
      <c r="K43" s="77">
        <v>29464</v>
      </c>
      <c r="L43" s="77">
        <f t="shared" si="0"/>
        <v>117856</v>
      </c>
      <c r="M43" s="67">
        <v>26744.81</v>
      </c>
      <c r="N43" s="122">
        <f t="shared" si="1"/>
        <v>0.10167168882485988</v>
      </c>
      <c r="Q43" s="123" t="s">
        <v>510</v>
      </c>
      <c r="R43" s="67"/>
      <c r="S43" s="67">
        <v>889488</v>
      </c>
    </row>
    <row r="44" spans="1:19" s="75" customFormat="1" ht="35.1" customHeight="1">
      <c r="A44" s="71">
        <v>34</v>
      </c>
      <c r="B44" s="72" t="s">
        <v>73</v>
      </c>
      <c r="C44" s="79" t="s">
        <v>447</v>
      </c>
      <c r="D44" s="79" t="s">
        <v>74</v>
      </c>
      <c r="E44" s="127">
        <v>1286888</v>
      </c>
      <c r="F44" s="73" t="s">
        <v>9</v>
      </c>
      <c r="G44" s="73" t="s">
        <v>10</v>
      </c>
      <c r="H44" s="76">
        <v>4</v>
      </c>
      <c r="I44" s="74" t="s">
        <v>473</v>
      </c>
      <c r="J44" s="71" t="s">
        <v>11</v>
      </c>
      <c r="K44" s="77">
        <v>79642</v>
      </c>
      <c r="L44" s="77">
        <f t="shared" si="0"/>
        <v>318568</v>
      </c>
      <c r="M44" s="75">
        <v>72290.740000000005</v>
      </c>
      <c r="N44" s="122">
        <f t="shared" si="1"/>
        <v>0.10169020264559459</v>
      </c>
      <c r="Q44" s="123" t="s">
        <v>511</v>
      </c>
      <c r="S44" s="75">
        <v>1286888</v>
      </c>
    </row>
    <row r="45" spans="1:19" ht="35.1" customHeight="1">
      <c r="A45" s="71">
        <v>35</v>
      </c>
      <c r="B45" s="72" t="s">
        <v>75</v>
      </c>
      <c r="C45" s="79" t="s">
        <v>448</v>
      </c>
      <c r="D45" s="79" t="s">
        <v>76</v>
      </c>
      <c r="E45" s="127">
        <v>1286889</v>
      </c>
      <c r="F45" s="73" t="s">
        <v>9</v>
      </c>
      <c r="G45" s="73" t="s">
        <v>10</v>
      </c>
      <c r="H45" s="76">
        <v>1</v>
      </c>
      <c r="I45" s="74" t="s">
        <v>473</v>
      </c>
      <c r="J45" s="71" t="s">
        <v>11</v>
      </c>
      <c r="K45" s="77">
        <v>621592</v>
      </c>
      <c r="L45" s="77">
        <f t="shared" si="0"/>
        <v>621592</v>
      </c>
      <c r="M45" s="67">
        <v>564219.41</v>
      </c>
      <c r="N45" s="122">
        <f t="shared" si="1"/>
        <v>0.10168489240737033</v>
      </c>
      <c r="Q45" s="123" t="s">
        <v>512</v>
      </c>
      <c r="R45" s="67"/>
      <c r="S45" s="67">
        <v>1286889</v>
      </c>
    </row>
    <row r="46" spans="1:19" ht="35.1" customHeight="1">
      <c r="A46" s="71">
        <v>36</v>
      </c>
      <c r="B46" s="72" t="s">
        <v>77</v>
      </c>
      <c r="C46" s="72" t="s">
        <v>78</v>
      </c>
      <c r="D46" s="72" t="s">
        <v>78</v>
      </c>
      <c r="E46" s="131">
        <v>1186481</v>
      </c>
      <c r="F46" s="73" t="s">
        <v>9</v>
      </c>
      <c r="G46" s="73" t="s">
        <v>10</v>
      </c>
      <c r="H46" s="76">
        <v>1</v>
      </c>
      <c r="I46" s="74" t="s">
        <v>473</v>
      </c>
      <c r="J46" s="71" t="s">
        <v>11</v>
      </c>
      <c r="K46" s="77">
        <v>97732</v>
      </c>
      <c r="L46" s="77">
        <f t="shared" si="0"/>
        <v>97732</v>
      </c>
      <c r="M46" s="67">
        <v>88711.26</v>
      </c>
      <c r="N46" s="122">
        <f t="shared" si="1"/>
        <v>0.10168652773052722</v>
      </c>
      <c r="Q46" s="123" t="s">
        <v>513</v>
      </c>
      <c r="R46" s="67"/>
      <c r="S46" s="67" t="str">
        <f>Q46</f>
        <v>1186481</v>
      </c>
    </row>
    <row r="47" spans="1:19" ht="35.1" customHeight="1">
      <c r="A47" s="71">
        <v>37</v>
      </c>
      <c r="B47" s="72" t="s">
        <v>79</v>
      </c>
      <c r="C47" s="72" t="s">
        <v>80</v>
      </c>
      <c r="D47" s="72" t="s">
        <v>80</v>
      </c>
      <c r="E47" s="127">
        <v>1204282</v>
      </c>
      <c r="F47" s="73" t="s">
        <v>9</v>
      </c>
      <c r="G47" s="73" t="s">
        <v>10</v>
      </c>
      <c r="H47" s="76">
        <v>4</v>
      </c>
      <c r="I47" s="74" t="s">
        <v>473</v>
      </c>
      <c r="J47" s="71" t="s">
        <v>11</v>
      </c>
      <c r="K47" s="77">
        <v>2361</v>
      </c>
      <c r="L47" s="77">
        <f t="shared" si="0"/>
        <v>9444</v>
      </c>
      <c r="M47" s="67">
        <v>2149.7800000000002</v>
      </c>
      <c r="N47" s="122">
        <f t="shared" si="1"/>
        <v>9.8251914149354747E-2</v>
      </c>
      <c r="Q47" s="123" t="s">
        <v>514</v>
      </c>
      <c r="R47" s="67"/>
      <c r="S47" s="67">
        <v>1204282</v>
      </c>
    </row>
    <row r="48" spans="1:19" ht="35.1" customHeight="1">
      <c r="A48" s="71">
        <v>38</v>
      </c>
      <c r="B48" s="72" t="s">
        <v>81</v>
      </c>
      <c r="C48" s="72" t="s">
        <v>82</v>
      </c>
      <c r="D48" s="72" t="s">
        <v>82</v>
      </c>
      <c r="E48" s="127">
        <v>1186482</v>
      </c>
      <c r="F48" s="73" t="s">
        <v>9</v>
      </c>
      <c r="G48" s="73" t="s">
        <v>10</v>
      </c>
      <c r="H48" s="76">
        <v>4</v>
      </c>
      <c r="I48" s="74" t="s">
        <v>473</v>
      </c>
      <c r="J48" s="71" t="s">
        <v>11</v>
      </c>
      <c r="K48" s="77">
        <v>1417</v>
      </c>
      <c r="L48" s="77">
        <f t="shared" si="0"/>
        <v>5668</v>
      </c>
      <c r="M48" s="67">
        <v>1289.26</v>
      </c>
      <c r="N48" s="122">
        <f t="shared" si="1"/>
        <v>9.9080092456137692E-2</v>
      </c>
      <c r="Q48" s="123" t="s">
        <v>515</v>
      </c>
      <c r="R48" s="67"/>
      <c r="S48" s="67">
        <v>1186482</v>
      </c>
    </row>
    <row r="49" spans="1:19" ht="35.1" customHeight="1">
      <c r="A49" s="71">
        <v>39</v>
      </c>
      <c r="B49" s="72" t="s">
        <v>83</v>
      </c>
      <c r="C49" s="79" t="s">
        <v>449</v>
      </c>
      <c r="D49" s="79" t="s">
        <v>84</v>
      </c>
      <c r="E49" s="131">
        <v>1186483</v>
      </c>
      <c r="F49" s="73" t="s">
        <v>9</v>
      </c>
      <c r="G49" s="73" t="s">
        <v>10</v>
      </c>
      <c r="H49" s="76">
        <v>1</v>
      </c>
      <c r="I49" s="74" t="s">
        <v>473</v>
      </c>
      <c r="J49" s="71" t="s">
        <v>11</v>
      </c>
      <c r="K49" s="77">
        <v>671110</v>
      </c>
      <c r="L49" s="77">
        <f t="shared" si="0"/>
        <v>671110</v>
      </c>
      <c r="M49" s="67">
        <v>608146</v>
      </c>
      <c r="N49" s="122">
        <f t="shared" si="1"/>
        <v>0.10353434865969691</v>
      </c>
      <c r="Q49" s="123" t="s">
        <v>516</v>
      </c>
      <c r="R49" s="67"/>
      <c r="S49" s="67" t="str">
        <f>Q49</f>
        <v>1186483</v>
      </c>
    </row>
    <row r="50" spans="1:19" ht="35.1" customHeight="1">
      <c r="A50" s="71">
        <v>40</v>
      </c>
      <c r="B50" s="72" t="s">
        <v>85</v>
      </c>
      <c r="C50" s="72" t="s">
        <v>86</v>
      </c>
      <c r="D50" s="72" t="s">
        <v>86</v>
      </c>
      <c r="E50" s="129">
        <v>1430677</v>
      </c>
      <c r="F50" s="73" t="s">
        <v>9</v>
      </c>
      <c r="G50" s="73" t="s">
        <v>10</v>
      </c>
      <c r="H50" s="76">
        <v>24</v>
      </c>
      <c r="I50" s="74" t="s">
        <v>473</v>
      </c>
      <c r="J50" s="71" t="s">
        <v>11</v>
      </c>
      <c r="K50" s="77">
        <v>509</v>
      </c>
      <c r="L50" s="77">
        <f t="shared" si="0"/>
        <v>12216</v>
      </c>
      <c r="M50" s="67">
        <v>462.96</v>
      </c>
      <c r="N50" s="122">
        <f t="shared" si="1"/>
        <v>9.9447036461033367E-2</v>
      </c>
      <c r="Q50" s="123" t="e">
        <v>#N/A</v>
      </c>
      <c r="R50" s="125">
        <v>1430677</v>
      </c>
      <c r="S50" s="67">
        <f>R50</f>
        <v>1430677</v>
      </c>
    </row>
    <row r="51" spans="1:19" ht="35.1" customHeight="1">
      <c r="A51" s="71">
        <v>41</v>
      </c>
      <c r="B51" s="72" t="s">
        <v>87</v>
      </c>
      <c r="C51" s="72" t="s">
        <v>88</v>
      </c>
      <c r="D51" s="72" t="s">
        <v>88</v>
      </c>
      <c r="E51" s="131">
        <v>975520</v>
      </c>
      <c r="F51" s="73" t="s">
        <v>9</v>
      </c>
      <c r="G51" s="73" t="s">
        <v>10</v>
      </c>
      <c r="H51" s="76">
        <v>48</v>
      </c>
      <c r="I51" s="74" t="s">
        <v>473</v>
      </c>
      <c r="J51" s="71" t="s">
        <v>11</v>
      </c>
      <c r="K51" s="77">
        <v>63</v>
      </c>
      <c r="L51" s="77">
        <f t="shared" si="0"/>
        <v>3024</v>
      </c>
      <c r="M51" s="67">
        <v>57.26</v>
      </c>
      <c r="N51" s="122">
        <f t="shared" si="1"/>
        <v>0.10024449877750619</v>
      </c>
      <c r="Q51" s="123" t="s">
        <v>517</v>
      </c>
      <c r="R51" s="67"/>
      <c r="S51" s="67" t="str">
        <f>Q51</f>
        <v>975520</v>
      </c>
    </row>
    <row r="52" spans="1:19" ht="35.1" customHeight="1">
      <c r="A52" s="71">
        <v>42</v>
      </c>
      <c r="B52" s="72" t="s">
        <v>89</v>
      </c>
      <c r="C52" s="72" t="s">
        <v>90</v>
      </c>
      <c r="D52" s="72" t="s">
        <v>90</v>
      </c>
      <c r="E52" s="129">
        <v>1430678</v>
      </c>
      <c r="F52" s="73" t="s">
        <v>9</v>
      </c>
      <c r="G52" s="73" t="s">
        <v>10</v>
      </c>
      <c r="H52" s="76">
        <v>24</v>
      </c>
      <c r="I52" s="74" t="s">
        <v>473</v>
      </c>
      <c r="J52" s="71" t="s">
        <v>11</v>
      </c>
      <c r="K52" s="77">
        <v>48</v>
      </c>
      <c r="L52" s="77">
        <f t="shared" si="0"/>
        <v>1152</v>
      </c>
      <c r="M52" s="67">
        <v>43.41</v>
      </c>
      <c r="N52" s="122">
        <f t="shared" si="1"/>
        <v>0.10573600552868001</v>
      </c>
      <c r="Q52" s="123" t="e">
        <v>#N/A</v>
      </c>
      <c r="R52" s="125">
        <v>1430678</v>
      </c>
      <c r="S52" s="67">
        <f>R52</f>
        <v>1430678</v>
      </c>
    </row>
    <row r="53" spans="1:19" ht="35.1" customHeight="1">
      <c r="A53" s="71">
        <v>43</v>
      </c>
      <c r="B53" s="72" t="s">
        <v>65</v>
      </c>
      <c r="C53" s="72" t="s">
        <v>91</v>
      </c>
      <c r="D53" s="72" t="s">
        <v>91</v>
      </c>
      <c r="E53" s="129">
        <v>1204290</v>
      </c>
      <c r="F53" s="73" t="s">
        <v>9</v>
      </c>
      <c r="G53" s="73" t="s">
        <v>10</v>
      </c>
      <c r="H53" s="76">
        <v>24</v>
      </c>
      <c r="I53" s="74" t="s">
        <v>473</v>
      </c>
      <c r="J53" s="71" t="s">
        <v>11</v>
      </c>
      <c r="K53" s="77">
        <v>60</v>
      </c>
      <c r="L53" s="77">
        <f t="shared" si="0"/>
        <v>1440</v>
      </c>
      <c r="M53" s="67">
        <v>54.44</v>
      </c>
      <c r="N53" s="122">
        <f t="shared" si="1"/>
        <v>0.10213078618662763</v>
      </c>
      <c r="Q53" s="123" t="e">
        <v>#N/A</v>
      </c>
      <c r="R53" s="125">
        <v>1204290</v>
      </c>
      <c r="S53" s="67">
        <f>R53</f>
        <v>1204290</v>
      </c>
    </row>
    <row r="54" spans="1:19" ht="35.1" customHeight="1">
      <c r="A54" s="71">
        <v>44</v>
      </c>
      <c r="B54" s="72" t="s">
        <v>92</v>
      </c>
      <c r="C54" s="72" t="s">
        <v>93</v>
      </c>
      <c r="D54" s="72" t="s">
        <v>93</v>
      </c>
      <c r="E54" s="128">
        <v>1186476</v>
      </c>
      <c r="F54" s="73" t="s">
        <v>9</v>
      </c>
      <c r="G54" s="73" t="s">
        <v>10</v>
      </c>
      <c r="H54" s="76">
        <v>2</v>
      </c>
      <c r="I54" s="74" t="s">
        <v>473</v>
      </c>
      <c r="J54" s="71" t="s">
        <v>11</v>
      </c>
      <c r="K54" s="77">
        <v>3957</v>
      </c>
      <c r="L54" s="77">
        <f t="shared" si="0"/>
        <v>7914</v>
      </c>
      <c r="M54" s="67">
        <v>3592.07</v>
      </c>
      <c r="N54" s="122">
        <f t="shared" si="1"/>
        <v>0.10159323175773305</v>
      </c>
      <c r="Q54" s="123" t="s">
        <v>518</v>
      </c>
      <c r="R54" s="67"/>
      <c r="S54" s="67">
        <v>1186476</v>
      </c>
    </row>
    <row r="55" spans="1:19" ht="35.1" customHeight="1">
      <c r="A55" s="71">
        <v>45</v>
      </c>
      <c r="B55" s="72" t="s">
        <v>94</v>
      </c>
      <c r="C55" s="72" t="s">
        <v>95</v>
      </c>
      <c r="D55" s="72" t="s">
        <v>95</v>
      </c>
      <c r="E55" s="127">
        <v>1174031</v>
      </c>
      <c r="F55" s="73" t="s">
        <v>9</v>
      </c>
      <c r="G55" s="73" t="s">
        <v>10</v>
      </c>
      <c r="H55" s="76">
        <v>2</v>
      </c>
      <c r="I55" s="74" t="s">
        <v>473</v>
      </c>
      <c r="J55" s="71" t="s">
        <v>11</v>
      </c>
      <c r="K55" s="77">
        <v>31603</v>
      </c>
      <c r="L55" s="77">
        <f t="shared" si="0"/>
        <v>63206</v>
      </c>
      <c r="M55" s="67">
        <v>28685.85</v>
      </c>
      <c r="N55" s="122">
        <f t="shared" si="1"/>
        <v>0.10169299497836048</v>
      </c>
      <c r="Q55" s="123" t="s">
        <v>519</v>
      </c>
      <c r="R55" s="67"/>
      <c r="S55" s="67">
        <v>1174031</v>
      </c>
    </row>
    <row r="56" spans="1:19" ht="35.1" customHeight="1">
      <c r="A56" s="71">
        <v>46</v>
      </c>
      <c r="B56" s="72" t="s">
        <v>38</v>
      </c>
      <c r="C56" s="72" t="s">
        <v>96</v>
      </c>
      <c r="D56" s="72" t="s">
        <v>96</v>
      </c>
      <c r="E56" s="127">
        <v>1174032</v>
      </c>
      <c r="F56" s="73" t="s">
        <v>9</v>
      </c>
      <c r="G56" s="73" t="s">
        <v>10</v>
      </c>
      <c r="H56" s="76">
        <v>4</v>
      </c>
      <c r="I56" s="74" t="s">
        <v>473</v>
      </c>
      <c r="J56" s="71" t="s">
        <v>11</v>
      </c>
      <c r="K56" s="77">
        <v>52475</v>
      </c>
      <c r="L56" s="77">
        <f t="shared" si="0"/>
        <v>209900</v>
      </c>
      <c r="M56" s="67">
        <v>47631.48</v>
      </c>
      <c r="N56" s="122">
        <f t="shared" si="1"/>
        <v>0.10168737146105888</v>
      </c>
      <c r="Q56" s="123" t="s">
        <v>520</v>
      </c>
      <c r="R56" s="67"/>
      <c r="S56" s="67">
        <v>1174032</v>
      </c>
    </row>
    <row r="57" spans="1:19" ht="35.1" customHeight="1">
      <c r="A57" s="71">
        <v>47</v>
      </c>
      <c r="B57" s="72" t="s">
        <v>97</v>
      </c>
      <c r="C57" s="72" t="s">
        <v>98</v>
      </c>
      <c r="D57" s="72" t="s">
        <v>98</v>
      </c>
      <c r="E57" s="127">
        <v>1186484</v>
      </c>
      <c r="F57" s="73" t="s">
        <v>9</v>
      </c>
      <c r="G57" s="73" t="s">
        <v>10</v>
      </c>
      <c r="H57" s="76">
        <v>6</v>
      </c>
      <c r="I57" s="74" t="s">
        <v>473</v>
      </c>
      <c r="J57" s="71" t="s">
        <v>11</v>
      </c>
      <c r="K57" s="77">
        <v>16813</v>
      </c>
      <c r="L57" s="77">
        <f t="shared" si="0"/>
        <v>100878</v>
      </c>
      <c r="M57" s="67">
        <v>15261.33</v>
      </c>
      <c r="N57" s="122">
        <f t="shared" si="1"/>
        <v>0.1016733141869024</v>
      </c>
      <c r="Q57" s="123" t="s">
        <v>521</v>
      </c>
      <c r="R57" s="67"/>
      <c r="S57" s="67">
        <v>1186484</v>
      </c>
    </row>
    <row r="58" spans="1:19" ht="35.1" customHeight="1">
      <c r="A58" s="71">
        <v>48</v>
      </c>
      <c r="B58" s="72" t="s">
        <v>99</v>
      </c>
      <c r="C58" s="72" t="s">
        <v>100</v>
      </c>
      <c r="D58" s="72" t="s">
        <v>100</v>
      </c>
      <c r="E58" s="127">
        <v>1285658</v>
      </c>
      <c r="F58" s="73" t="s">
        <v>9</v>
      </c>
      <c r="G58" s="73" t="s">
        <v>10</v>
      </c>
      <c r="H58" s="76">
        <v>2</v>
      </c>
      <c r="I58" s="74" t="s">
        <v>473</v>
      </c>
      <c r="J58" s="71" t="s">
        <v>11</v>
      </c>
      <c r="K58" s="77">
        <v>283421</v>
      </c>
      <c r="L58" s="77">
        <f t="shared" si="0"/>
        <v>566842</v>
      </c>
      <c r="M58" s="67">
        <v>256157.04</v>
      </c>
      <c r="N58" s="122">
        <f t="shared" si="1"/>
        <v>0.10643455280401426</v>
      </c>
      <c r="Q58" s="123" t="s">
        <v>522</v>
      </c>
      <c r="R58" s="67"/>
      <c r="S58" s="67">
        <v>1285658</v>
      </c>
    </row>
    <row r="59" spans="1:19" ht="35.1" customHeight="1">
      <c r="A59" s="71">
        <v>49</v>
      </c>
      <c r="B59" s="72" t="s">
        <v>101</v>
      </c>
      <c r="C59" s="72" t="s">
        <v>102</v>
      </c>
      <c r="D59" s="72" t="s">
        <v>102</v>
      </c>
      <c r="E59" s="127">
        <v>1285672</v>
      </c>
      <c r="F59" s="73" t="s">
        <v>9</v>
      </c>
      <c r="G59" s="73" t="s">
        <v>10</v>
      </c>
      <c r="H59" s="76">
        <v>2</v>
      </c>
      <c r="I59" s="74" t="s">
        <v>473</v>
      </c>
      <c r="J59" s="71" t="s">
        <v>11</v>
      </c>
      <c r="K59" s="77">
        <v>680150</v>
      </c>
      <c r="L59" s="77">
        <f t="shared" si="0"/>
        <v>1360300</v>
      </c>
      <c r="M59" s="67">
        <v>617372.43999999994</v>
      </c>
      <c r="N59" s="122">
        <f t="shared" si="1"/>
        <v>0.10168507036044572</v>
      </c>
      <c r="Q59" s="123" t="s">
        <v>523</v>
      </c>
      <c r="R59" s="67"/>
      <c r="S59" s="67">
        <v>1285672</v>
      </c>
    </row>
    <row r="60" spans="1:19" ht="35.1" customHeight="1">
      <c r="A60" s="71">
        <v>50</v>
      </c>
      <c r="B60" s="72" t="s">
        <v>103</v>
      </c>
      <c r="C60" s="72" t="s">
        <v>104</v>
      </c>
      <c r="D60" s="72" t="s">
        <v>104</v>
      </c>
      <c r="E60" s="131">
        <v>1179144</v>
      </c>
      <c r="F60" s="73" t="s">
        <v>9</v>
      </c>
      <c r="G60" s="73" t="s">
        <v>10</v>
      </c>
      <c r="H60" s="76">
        <v>4</v>
      </c>
      <c r="I60" s="74" t="s">
        <v>473</v>
      </c>
      <c r="J60" s="71" t="s">
        <v>11</v>
      </c>
      <c r="K60" s="77">
        <v>143980</v>
      </c>
      <c r="L60" s="77">
        <f t="shared" si="0"/>
        <v>575920</v>
      </c>
      <c r="M60" s="67">
        <v>130471.85</v>
      </c>
      <c r="N60" s="122">
        <f t="shared" si="1"/>
        <v>0.10353306096295856</v>
      </c>
      <c r="Q60" s="123" t="s">
        <v>524</v>
      </c>
      <c r="R60" s="67"/>
      <c r="S60" s="67" t="str">
        <f>Q60</f>
        <v>1179144</v>
      </c>
    </row>
    <row r="61" spans="1:19" ht="35.1" customHeight="1">
      <c r="A61" s="71">
        <v>51</v>
      </c>
      <c r="B61" s="72" t="s">
        <v>105</v>
      </c>
      <c r="C61" s="72" t="s">
        <v>106</v>
      </c>
      <c r="D61" s="72" t="s">
        <v>106</v>
      </c>
      <c r="E61" s="127">
        <v>1286902</v>
      </c>
      <c r="F61" s="73" t="s">
        <v>9</v>
      </c>
      <c r="G61" s="73" t="s">
        <v>10</v>
      </c>
      <c r="H61" s="76">
        <v>1</v>
      </c>
      <c r="I61" s="74" t="s">
        <v>473</v>
      </c>
      <c r="J61" s="71" t="s">
        <v>11</v>
      </c>
      <c r="K61" s="77">
        <v>998810</v>
      </c>
      <c r="L61" s="77">
        <f t="shared" si="0"/>
        <v>998810</v>
      </c>
      <c r="M61" s="67">
        <v>906620.59</v>
      </c>
      <c r="N61" s="122">
        <f t="shared" si="1"/>
        <v>0.10168466392319631</v>
      </c>
      <c r="Q61" s="114">
        <v>1286902</v>
      </c>
      <c r="R61" s="67"/>
      <c r="S61" s="67">
        <v>1286902</v>
      </c>
    </row>
    <row r="62" spans="1:19" ht="35.1" customHeight="1">
      <c r="A62" s="71">
        <v>52</v>
      </c>
      <c r="B62" s="72" t="s">
        <v>107</v>
      </c>
      <c r="C62" s="72" t="s">
        <v>108</v>
      </c>
      <c r="D62" s="72" t="s">
        <v>108</v>
      </c>
      <c r="E62" s="127">
        <v>1285673</v>
      </c>
      <c r="F62" s="73" t="s">
        <v>9</v>
      </c>
      <c r="G62" s="73" t="s">
        <v>10</v>
      </c>
      <c r="H62" s="76">
        <v>1</v>
      </c>
      <c r="I62" s="74" t="s">
        <v>473</v>
      </c>
      <c r="J62" s="71" t="s">
        <v>11</v>
      </c>
      <c r="K62" s="77">
        <v>163379</v>
      </c>
      <c r="L62" s="77">
        <f t="shared" si="0"/>
        <v>163379</v>
      </c>
      <c r="M62" s="67">
        <v>147662.15</v>
      </c>
      <c r="N62" s="122">
        <f t="shared" si="1"/>
        <v>0.10643790571923817</v>
      </c>
      <c r="Q62" s="123" t="s">
        <v>525</v>
      </c>
      <c r="R62" s="67"/>
      <c r="S62" s="67">
        <v>1285673</v>
      </c>
    </row>
    <row r="63" spans="1:19" ht="35.1" customHeight="1">
      <c r="A63" s="71">
        <v>53</v>
      </c>
      <c r="B63" s="72" t="s">
        <v>109</v>
      </c>
      <c r="C63" s="72" t="s">
        <v>110</v>
      </c>
      <c r="D63" s="72" t="s">
        <v>110</v>
      </c>
      <c r="E63" s="127">
        <v>1174028</v>
      </c>
      <c r="F63" s="73" t="s">
        <v>9</v>
      </c>
      <c r="G63" s="73" t="s">
        <v>10</v>
      </c>
      <c r="H63" s="76">
        <v>2</v>
      </c>
      <c r="I63" s="74" t="s">
        <v>473</v>
      </c>
      <c r="J63" s="71" t="s">
        <v>11</v>
      </c>
      <c r="K63" s="77">
        <v>11236</v>
      </c>
      <c r="L63" s="77">
        <f t="shared" si="0"/>
        <v>22472</v>
      </c>
      <c r="M63" s="67">
        <v>10198.89</v>
      </c>
      <c r="N63" s="122">
        <f t="shared" si="1"/>
        <v>0.10168851708372184</v>
      </c>
      <c r="Q63" s="123" t="s">
        <v>526</v>
      </c>
      <c r="R63" s="67"/>
      <c r="S63" s="67">
        <v>1174028</v>
      </c>
    </row>
    <row r="64" spans="1:19" ht="35.1" customHeight="1">
      <c r="A64" s="71">
        <v>54</v>
      </c>
      <c r="B64" s="72" t="s">
        <v>111</v>
      </c>
      <c r="C64" s="72" t="s">
        <v>112</v>
      </c>
      <c r="D64" s="72" t="s">
        <v>112</v>
      </c>
      <c r="E64" s="127">
        <v>1152607</v>
      </c>
      <c r="F64" s="73" t="s">
        <v>9</v>
      </c>
      <c r="G64" s="73" t="s">
        <v>10</v>
      </c>
      <c r="H64" s="76">
        <v>3</v>
      </c>
      <c r="I64" s="74" t="s">
        <v>473</v>
      </c>
      <c r="J64" s="71" t="s">
        <v>11</v>
      </c>
      <c r="K64" s="77">
        <v>19420</v>
      </c>
      <c r="L64" s="77">
        <f t="shared" si="0"/>
        <v>58260</v>
      </c>
      <c r="M64" s="67">
        <v>17627.330000000002</v>
      </c>
      <c r="N64" s="122">
        <f t="shared" si="1"/>
        <v>0.1016983286748474</v>
      </c>
      <c r="Q64" s="123" t="s">
        <v>527</v>
      </c>
      <c r="R64" s="67"/>
      <c r="S64" s="67">
        <v>1152607</v>
      </c>
    </row>
    <row r="65" spans="1:19" ht="35.1" customHeight="1">
      <c r="A65" s="71">
        <v>55</v>
      </c>
      <c r="B65" s="72" t="s">
        <v>113</v>
      </c>
      <c r="C65" s="72" t="s">
        <v>114</v>
      </c>
      <c r="D65" s="72" t="s">
        <v>114</v>
      </c>
      <c r="E65" s="127">
        <v>1285875</v>
      </c>
      <c r="F65" s="73" t="s">
        <v>9</v>
      </c>
      <c r="G65" s="73" t="s">
        <v>10</v>
      </c>
      <c r="H65" s="76">
        <v>1</v>
      </c>
      <c r="I65" s="74" t="s">
        <v>473</v>
      </c>
      <c r="J65" s="71" t="s">
        <v>11</v>
      </c>
      <c r="K65" s="77">
        <v>181883</v>
      </c>
      <c r="L65" s="77">
        <f t="shared" si="0"/>
        <v>181883</v>
      </c>
      <c r="M65" s="67">
        <v>164386.44</v>
      </c>
      <c r="N65" s="122">
        <f t="shared" si="1"/>
        <v>0.10643554298030899</v>
      </c>
      <c r="Q65" s="123" t="s">
        <v>528</v>
      </c>
      <c r="R65" s="67"/>
      <c r="S65" s="67">
        <v>1285875</v>
      </c>
    </row>
    <row r="66" spans="1:19" ht="35.1" customHeight="1">
      <c r="A66" s="71">
        <v>56</v>
      </c>
      <c r="B66" s="72" t="s">
        <v>115</v>
      </c>
      <c r="C66" s="72" t="s">
        <v>116</v>
      </c>
      <c r="D66" s="72" t="s">
        <v>116</v>
      </c>
      <c r="E66" s="127">
        <v>1174033</v>
      </c>
      <c r="F66" s="73" t="s">
        <v>9</v>
      </c>
      <c r="G66" s="73" t="s">
        <v>10</v>
      </c>
      <c r="H66" s="76">
        <v>1</v>
      </c>
      <c r="I66" s="74" t="s">
        <v>473</v>
      </c>
      <c r="J66" s="71" t="s">
        <v>11</v>
      </c>
      <c r="K66" s="77">
        <v>51707</v>
      </c>
      <c r="L66" s="77">
        <f t="shared" si="0"/>
        <v>51707</v>
      </c>
      <c r="M66" s="67">
        <v>46733.04</v>
      </c>
      <c r="N66" s="122">
        <f t="shared" si="1"/>
        <v>0.10643347832711081</v>
      </c>
      <c r="Q66" s="123" t="s">
        <v>529</v>
      </c>
      <c r="R66" s="67"/>
      <c r="S66" s="67">
        <v>1174033</v>
      </c>
    </row>
    <row r="67" spans="1:19" ht="35.1" customHeight="1">
      <c r="A67" s="71">
        <v>57</v>
      </c>
      <c r="B67" s="72" t="s">
        <v>117</v>
      </c>
      <c r="C67" s="72" t="s">
        <v>118</v>
      </c>
      <c r="D67" s="72" t="s">
        <v>118</v>
      </c>
      <c r="E67" s="127">
        <v>975799</v>
      </c>
      <c r="F67" s="73" t="s">
        <v>9</v>
      </c>
      <c r="G67" s="73" t="s">
        <v>10</v>
      </c>
      <c r="H67" s="76">
        <v>8</v>
      </c>
      <c r="I67" s="74" t="s">
        <v>473</v>
      </c>
      <c r="J67" s="71" t="s">
        <v>11</v>
      </c>
      <c r="K67" s="77">
        <v>12574</v>
      </c>
      <c r="L67" s="77">
        <f t="shared" si="0"/>
        <v>100592</v>
      </c>
      <c r="M67" s="67">
        <v>11436.52</v>
      </c>
      <c r="N67" s="122">
        <f t="shared" si="1"/>
        <v>9.9460325343723399E-2</v>
      </c>
      <c r="Q67" s="123" t="s">
        <v>530</v>
      </c>
      <c r="R67" s="67"/>
      <c r="S67" s="67">
        <v>975799</v>
      </c>
    </row>
    <row r="68" spans="1:19" ht="35.1" customHeight="1">
      <c r="A68" s="71">
        <v>58</v>
      </c>
      <c r="B68" s="72" t="s">
        <v>119</v>
      </c>
      <c r="C68" s="72" t="s">
        <v>120</v>
      </c>
      <c r="D68" s="72" t="s">
        <v>120</v>
      </c>
      <c r="E68" s="127">
        <v>1285877</v>
      </c>
      <c r="F68" s="73" t="s">
        <v>9</v>
      </c>
      <c r="G68" s="73" t="s">
        <v>10</v>
      </c>
      <c r="H68" s="76">
        <v>2</v>
      </c>
      <c r="I68" s="74" t="s">
        <v>473</v>
      </c>
      <c r="J68" s="71" t="s">
        <v>11</v>
      </c>
      <c r="K68" s="77">
        <v>22053</v>
      </c>
      <c r="L68" s="77">
        <f t="shared" si="0"/>
        <v>44106</v>
      </c>
      <c r="M68" s="67">
        <v>19931.93</v>
      </c>
      <c r="N68" s="122">
        <f t="shared" si="1"/>
        <v>0.10641568578657457</v>
      </c>
      <c r="Q68" s="123" t="s">
        <v>531</v>
      </c>
      <c r="R68" s="67"/>
      <c r="S68" s="67">
        <v>1285877</v>
      </c>
    </row>
    <row r="69" spans="1:19" ht="35.1" customHeight="1">
      <c r="A69" s="71">
        <v>59</v>
      </c>
      <c r="B69" s="72" t="s">
        <v>119</v>
      </c>
      <c r="C69" s="72" t="s">
        <v>121</v>
      </c>
      <c r="D69" s="72" t="s">
        <v>121</v>
      </c>
      <c r="E69" s="127">
        <v>1285879</v>
      </c>
      <c r="F69" s="73" t="s">
        <v>9</v>
      </c>
      <c r="G69" s="73" t="s">
        <v>10</v>
      </c>
      <c r="H69" s="76">
        <v>2</v>
      </c>
      <c r="I69" s="74" t="s">
        <v>473</v>
      </c>
      <c r="J69" s="71" t="s">
        <v>11</v>
      </c>
      <c r="K69" s="77">
        <v>22135</v>
      </c>
      <c r="L69" s="77">
        <f t="shared" si="0"/>
        <v>44270</v>
      </c>
      <c r="M69" s="67">
        <v>20005.849999999999</v>
      </c>
      <c r="N69" s="122">
        <f t="shared" si="1"/>
        <v>0.10642637028669122</v>
      </c>
      <c r="Q69" s="123" t="s">
        <v>532</v>
      </c>
      <c r="R69" s="67"/>
      <c r="S69" s="67">
        <v>1285879</v>
      </c>
    </row>
    <row r="70" spans="1:19" ht="35.1" customHeight="1">
      <c r="A70" s="71">
        <v>60</v>
      </c>
      <c r="B70" s="72" t="s">
        <v>117</v>
      </c>
      <c r="C70" s="72" t="s">
        <v>122</v>
      </c>
      <c r="D70" s="72" t="s">
        <v>122</v>
      </c>
      <c r="E70" s="127">
        <v>975790</v>
      </c>
      <c r="F70" s="73" t="s">
        <v>9</v>
      </c>
      <c r="G70" s="73" t="s">
        <v>10</v>
      </c>
      <c r="H70" s="76">
        <v>2</v>
      </c>
      <c r="I70" s="74" t="s">
        <v>473</v>
      </c>
      <c r="J70" s="71" t="s">
        <v>11</v>
      </c>
      <c r="K70" s="77">
        <v>6362</v>
      </c>
      <c r="L70" s="77">
        <f t="shared" si="0"/>
        <v>12724</v>
      </c>
      <c r="M70" s="67">
        <v>5786.3</v>
      </c>
      <c r="N70" s="122">
        <f t="shared" si="1"/>
        <v>9.9493631508908997E-2</v>
      </c>
      <c r="Q70" s="123" t="s">
        <v>533</v>
      </c>
      <c r="R70" s="67"/>
      <c r="S70" s="67">
        <v>975790</v>
      </c>
    </row>
    <row r="71" spans="1:19" ht="35.1" customHeight="1">
      <c r="A71" s="71">
        <v>61</v>
      </c>
      <c r="B71" s="72" t="s">
        <v>123</v>
      </c>
      <c r="C71" s="72" t="s">
        <v>124</v>
      </c>
      <c r="D71" s="72" t="s">
        <v>124</v>
      </c>
      <c r="E71" s="129">
        <v>1430679</v>
      </c>
      <c r="F71" s="73" t="s">
        <v>9</v>
      </c>
      <c r="G71" s="73" t="s">
        <v>10</v>
      </c>
      <c r="H71" s="76">
        <v>2</v>
      </c>
      <c r="I71" s="74" t="s">
        <v>473</v>
      </c>
      <c r="J71" s="71" t="s">
        <v>11</v>
      </c>
      <c r="K71" s="77">
        <v>34630</v>
      </c>
      <c r="L71" s="77">
        <f t="shared" si="0"/>
        <v>69260</v>
      </c>
      <c r="M71" s="67">
        <v>31509.33</v>
      </c>
      <c r="N71" s="122">
        <f t="shared" si="1"/>
        <v>9.9039554316134204E-2</v>
      </c>
      <c r="Q71" s="123" t="e">
        <v>#N/A</v>
      </c>
      <c r="R71" s="125">
        <v>1430679</v>
      </c>
      <c r="S71" s="67">
        <f>R71</f>
        <v>1430679</v>
      </c>
    </row>
    <row r="72" spans="1:19" ht="35.1" customHeight="1">
      <c r="A72" s="71">
        <v>62</v>
      </c>
      <c r="B72" s="72" t="s">
        <v>125</v>
      </c>
      <c r="C72" s="72" t="s">
        <v>126</v>
      </c>
      <c r="D72" s="72" t="s">
        <v>126</v>
      </c>
      <c r="E72" s="129">
        <v>1430680</v>
      </c>
      <c r="F72" s="73" t="s">
        <v>9</v>
      </c>
      <c r="G72" s="73" t="s">
        <v>10</v>
      </c>
      <c r="H72" s="76">
        <v>4</v>
      </c>
      <c r="I72" s="74" t="s">
        <v>473</v>
      </c>
      <c r="J72" s="71" t="s">
        <v>11</v>
      </c>
      <c r="K72" s="77">
        <v>830</v>
      </c>
      <c r="L72" s="77">
        <f t="shared" si="0"/>
        <v>3320</v>
      </c>
      <c r="M72" s="67">
        <v>754.81</v>
      </c>
      <c r="N72" s="122">
        <f t="shared" si="1"/>
        <v>9.9614472516262431E-2</v>
      </c>
      <c r="Q72" s="123" t="e">
        <v>#N/A</v>
      </c>
      <c r="R72" s="125">
        <v>1430680</v>
      </c>
      <c r="S72" s="67">
        <f>R72</f>
        <v>1430680</v>
      </c>
    </row>
    <row r="73" spans="1:19" ht="35.1" customHeight="1">
      <c r="A73" s="71">
        <v>63</v>
      </c>
      <c r="B73" s="72" t="s">
        <v>127</v>
      </c>
      <c r="C73" s="72" t="s">
        <v>128</v>
      </c>
      <c r="D73" s="72" t="s">
        <v>128</v>
      </c>
      <c r="E73" s="127">
        <v>1179104</v>
      </c>
      <c r="F73" s="73" t="s">
        <v>9</v>
      </c>
      <c r="G73" s="73" t="s">
        <v>10</v>
      </c>
      <c r="H73" s="76">
        <v>2</v>
      </c>
      <c r="I73" s="74" t="s">
        <v>473</v>
      </c>
      <c r="J73" s="71" t="s">
        <v>11</v>
      </c>
      <c r="K73" s="77">
        <v>23059</v>
      </c>
      <c r="L73" s="77">
        <f t="shared" si="0"/>
        <v>46118</v>
      </c>
      <c r="M73" s="67">
        <v>20840.52</v>
      </c>
      <c r="N73" s="122">
        <f t="shared" si="1"/>
        <v>0.10645031889799283</v>
      </c>
      <c r="Q73" s="123" t="s">
        <v>534</v>
      </c>
      <c r="R73" s="67"/>
      <c r="S73" s="67">
        <v>1179104</v>
      </c>
    </row>
    <row r="74" spans="1:19" ht="35.1" customHeight="1">
      <c r="A74" s="71">
        <v>64</v>
      </c>
      <c r="B74" s="72" t="s">
        <v>117</v>
      </c>
      <c r="C74" s="72" t="s">
        <v>129</v>
      </c>
      <c r="D74" s="72" t="s">
        <v>129</v>
      </c>
      <c r="E74" s="129">
        <v>1430682</v>
      </c>
      <c r="F74" s="73" t="s">
        <v>9</v>
      </c>
      <c r="G74" s="73" t="s">
        <v>10</v>
      </c>
      <c r="H74" s="76">
        <v>4</v>
      </c>
      <c r="I74" s="74" t="s">
        <v>473</v>
      </c>
      <c r="J74" s="71" t="s">
        <v>11</v>
      </c>
      <c r="K74" s="77">
        <v>6060</v>
      </c>
      <c r="L74" s="77">
        <f t="shared" si="0"/>
        <v>24240</v>
      </c>
      <c r="M74" s="67">
        <v>5511.78</v>
      </c>
      <c r="N74" s="122">
        <f t="shared" si="1"/>
        <v>9.9463331265035926E-2</v>
      </c>
      <c r="Q74" s="123" t="e">
        <v>#N/A</v>
      </c>
      <c r="R74" s="125">
        <v>1430682</v>
      </c>
      <c r="S74" s="67">
        <f>R74</f>
        <v>1430682</v>
      </c>
    </row>
    <row r="75" spans="1:19" ht="35.1" customHeight="1">
      <c r="A75" s="71">
        <v>65</v>
      </c>
      <c r="B75" s="72" t="s">
        <v>130</v>
      </c>
      <c r="C75" s="72" t="s">
        <v>131</v>
      </c>
      <c r="D75" s="72" t="s">
        <v>131</v>
      </c>
      <c r="E75" s="129">
        <v>1430686</v>
      </c>
      <c r="F75" s="73" t="s">
        <v>9</v>
      </c>
      <c r="G75" s="73" t="s">
        <v>10</v>
      </c>
      <c r="H75" s="76">
        <v>4</v>
      </c>
      <c r="I75" s="74" t="s">
        <v>473</v>
      </c>
      <c r="J75" s="71" t="s">
        <v>11</v>
      </c>
      <c r="K75" s="77">
        <v>2182</v>
      </c>
      <c r="L75" s="77">
        <f t="shared" ref="L75:L137" si="4">K75*H75</f>
        <v>8728</v>
      </c>
      <c r="M75" s="67">
        <v>1980.67</v>
      </c>
      <c r="N75" s="122">
        <f t="shared" si="1"/>
        <v>0.10164742233688595</v>
      </c>
      <c r="Q75" s="123" t="e">
        <v>#N/A</v>
      </c>
      <c r="R75" s="125">
        <v>1430686</v>
      </c>
      <c r="S75" s="67">
        <f>R75</f>
        <v>1430686</v>
      </c>
    </row>
    <row r="76" spans="1:19" ht="35.1" customHeight="1">
      <c r="A76" s="71">
        <v>66</v>
      </c>
      <c r="B76" s="72" t="s">
        <v>132</v>
      </c>
      <c r="C76" s="72" t="s">
        <v>133</v>
      </c>
      <c r="D76" s="72" t="s">
        <v>133</v>
      </c>
      <c r="E76" s="127">
        <v>975823</v>
      </c>
      <c r="F76" s="73" t="s">
        <v>9</v>
      </c>
      <c r="G76" s="73" t="s">
        <v>10</v>
      </c>
      <c r="H76" s="76">
        <v>10</v>
      </c>
      <c r="I76" s="74" t="s">
        <v>473</v>
      </c>
      <c r="J76" s="71" t="s">
        <v>11</v>
      </c>
      <c r="K76" s="77">
        <v>118602</v>
      </c>
      <c r="L76" s="77">
        <f t="shared" si="4"/>
        <v>1186020</v>
      </c>
      <c r="M76" s="67">
        <v>107192.67</v>
      </c>
      <c r="N76" s="122">
        <f t="shared" ref="N76:N139" si="5">K76/M76-1</f>
        <v>0.10643759503331718</v>
      </c>
      <c r="Q76" s="123" t="s">
        <v>535</v>
      </c>
      <c r="R76" s="67"/>
      <c r="S76" s="67">
        <v>975823</v>
      </c>
    </row>
    <row r="77" spans="1:19" ht="35.1" customHeight="1">
      <c r="A77" s="120">
        <v>67</v>
      </c>
      <c r="B77" s="115" t="s">
        <v>134</v>
      </c>
      <c r="C77" s="115" t="s">
        <v>135</v>
      </c>
      <c r="D77" s="115" t="s">
        <v>135</v>
      </c>
      <c r="E77" s="131">
        <v>976107</v>
      </c>
      <c r="F77" s="117" t="s">
        <v>9</v>
      </c>
      <c r="G77" s="117" t="s">
        <v>10</v>
      </c>
      <c r="H77" s="118">
        <v>20</v>
      </c>
      <c r="I77" s="119" t="s">
        <v>473</v>
      </c>
      <c r="J77" s="120" t="s">
        <v>11</v>
      </c>
      <c r="K77" s="121">
        <v>6602</v>
      </c>
      <c r="L77" s="121">
        <f t="shared" si="4"/>
        <v>132040</v>
      </c>
      <c r="M77" s="67">
        <v>6030</v>
      </c>
      <c r="N77" s="122">
        <f t="shared" si="5"/>
        <v>9.48590381426202E-2</v>
      </c>
      <c r="Q77" s="123" t="s">
        <v>536</v>
      </c>
      <c r="R77" s="67"/>
      <c r="S77" s="67" t="str">
        <f>Q77</f>
        <v>976107</v>
      </c>
    </row>
    <row r="78" spans="1:19" ht="35.1" customHeight="1">
      <c r="A78" s="71">
        <v>68</v>
      </c>
      <c r="B78" s="72" t="s">
        <v>136</v>
      </c>
      <c r="C78" s="72" t="s">
        <v>137</v>
      </c>
      <c r="D78" s="72" t="s">
        <v>137</v>
      </c>
      <c r="E78" s="127">
        <v>889642</v>
      </c>
      <c r="F78" s="73" t="s">
        <v>9</v>
      </c>
      <c r="G78" s="73" t="s">
        <v>10</v>
      </c>
      <c r="H78" s="76">
        <v>4</v>
      </c>
      <c r="I78" s="74" t="s">
        <v>473</v>
      </c>
      <c r="J78" s="71" t="s">
        <v>11</v>
      </c>
      <c r="K78" s="77">
        <v>32273</v>
      </c>
      <c r="L78" s="77">
        <f t="shared" si="4"/>
        <v>129092</v>
      </c>
      <c r="M78" s="67">
        <v>29168.81</v>
      </c>
      <c r="N78" s="122">
        <f t="shared" si="5"/>
        <v>0.10642155096488337</v>
      </c>
      <c r="Q78" s="123" t="s">
        <v>537</v>
      </c>
      <c r="R78" s="67"/>
      <c r="S78" s="67">
        <v>889642</v>
      </c>
    </row>
    <row r="79" spans="1:19" s="75" customFormat="1" ht="35.1" customHeight="1">
      <c r="A79" s="71">
        <v>69</v>
      </c>
      <c r="B79" s="72" t="s">
        <v>136</v>
      </c>
      <c r="C79" s="72" t="s">
        <v>138</v>
      </c>
      <c r="D79" s="72" t="s">
        <v>138</v>
      </c>
      <c r="E79" s="127">
        <v>889643</v>
      </c>
      <c r="F79" s="73" t="s">
        <v>9</v>
      </c>
      <c r="G79" s="73" t="s">
        <v>10</v>
      </c>
      <c r="H79" s="76">
        <v>3</v>
      </c>
      <c r="I79" s="74" t="s">
        <v>473</v>
      </c>
      <c r="J79" s="71" t="s">
        <v>11</v>
      </c>
      <c r="K79" s="77">
        <v>27661</v>
      </c>
      <c r="L79" s="77">
        <f t="shared" si="4"/>
        <v>82983</v>
      </c>
      <c r="M79" s="75">
        <v>24999.85</v>
      </c>
      <c r="N79" s="122">
        <f t="shared" si="5"/>
        <v>0.10644663867983217</v>
      </c>
      <c r="Q79" s="123" t="s">
        <v>538</v>
      </c>
      <c r="S79" s="75">
        <v>889643</v>
      </c>
    </row>
    <row r="80" spans="1:19" ht="35.1" customHeight="1">
      <c r="A80" s="71">
        <v>70</v>
      </c>
      <c r="B80" s="72" t="s">
        <v>139</v>
      </c>
      <c r="C80" s="72" t="s">
        <v>140</v>
      </c>
      <c r="D80" s="72" t="s">
        <v>140</v>
      </c>
      <c r="E80" s="129">
        <v>1430687</v>
      </c>
      <c r="F80" s="73" t="s">
        <v>9</v>
      </c>
      <c r="G80" s="73" t="s">
        <v>10</v>
      </c>
      <c r="H80" s="76">
        <v>4</v>
      </c>
      <c r="I80" s="74" t="s">
        <v>473</v>
      </c>
      <c r="J80" s="71" t="s">
        <v>11</v>
      </c>
      <c r="K80" s="77">
        <v>36867</v>
      </c>
      <c r="L80" s="77">
        <f t="shared" si="4"/>
        <v>147468</v>
      </c>
      <c r="M80" s="67">
        <v>33320.15</v>
      </c>
      <c r="N80" s="122">
        <f t="shared" si="5"/>
        <v>0.10644760002581011</v>
      </c>
      <c r="Q80" s="123" t="e">
        <v>#N/A</v>
      </c>
      <c r="R80" s="125">
        <v>1430687</v>
      </c>
      <c r="S80" s="67">
        <f>R80</f>
        <v>1430687</v>
      </c>
    </row>
    <row r="81" spans="1:19" ht="35.1" customHeight="1">
      <c r="A81" s="71">
        <v>71</v>
      </c>
      <c r="B81" s="72" t="s">
        <v>136</v>
      </c>
      <c r="C81" s="72" t="s">
        <v>141</v>
      </c>
      <c r="D81" s="72" t="s">
        <v>141</v>
      </c>
      <c r="E81" s="131">
        <v>889619</v>
      </c>
      <c r="F81" s="73" t="s">
        <v>9</v>
      </c>
      <c r="G81" s="73" t="s">
        <v>10</v>
      </c>
      <c r="H81" s="76">
        <v>4</v>
      </c>
      <c r="I81" s="74" t="s">
        <v>473</v>
      </c>
      <c r="J81" s="71" t="s">
        <v>11</v>
      </c>
      <c r="K81" s="77">
        <v>27275</v>
      </c>
      <c r="L81" s="77">
        <f t="shared" si="4"/>
        <v>109100</v>
      </c>
      <c r="M81" s="67">
        <v>24651.26</v>
      </c>
      <c r="N81" s="122">
        <f t="shared" si="5"/>
        <v>0.10643431613637611</v>
      </c>
      <c r="Q81" s="123" t="s">
        <v>539</v>
      </c>
      <c r="R81" s="67"/>
      <c r="S81" s="67" t="str">
        <f>Q81</f>
        <v>889619</v>
      </c>
    </row>
    <row r="82" spans="1:19" ht="35.1" customHeight="1">
      <c r="A82" s="71">
        <v>72</v>
      </c>
      <c r="B82" s="72" t="s">
        <v>142</v>
      </c>
      <c r="C82" s="72" t="s">
        <v>143</v>
      </c>
      <c r="D82" s="72" t="s">
        <v>143</v>
      </c>
      <c r="E82" s="131">
        <v>901728</v>
      </c>
      <c r="F82" s="73" t="s">
        <v>9</v>
      </c>
      <c r="G82" s="73" t="s">
        <v>10</v>
      </c>
      <c r="H82" s="76">
        <v>1</v>
      </c>
      <c r="I82" s="74" t="s">
        <v>473</v>
      </c>
      <c r="J82" s="71" t="s">
        <v>11</v>
      </c>
      <c r="K82" s="77">
        <v>1015724</v>
      </c>
      <c r="L82" s="77">
        <f t="shared" si="4"/>
        <v>1015724</v>
      </c>
      <c r="M82" s="67">
        <v>921972.74</v>
      </c>
      <c r="N82" s="122">
        <f t="shared" si="5"/>
        <v>0.10168550102685248</v>
      </c>
      <c r="Q82" s="123" t="s">
        <v>540</v>
      </c>
      <c r="R82" s="67"/>
      <c r="S82" s="67" t="str">
        <f>Q82</f>
        <v>901728</v>
      </c>
    </row>
    <row r="83" spans="1:19" ht="35.1" customHeight="1">
      <c r="A83" s="71">
        <v>73</v>
      </c>
      <c r="B83" s="72" t="s">
        <v>144</v>
      </c>
      <c r="C83" s="72" t="s">
        <v>145</v>
      </c>
      <c r="D83" s="72" t="s">
        <v>145</v>
      </c>
      <c r="E83" s="131">
        <v>901730</v>
      </c>
      <c r="F83" s="73" t="s">
        <v>9</v>
      </c>
      <c r="G83" s="73" t="s">
        <v>10</v>
      </c>
      <c r="H83" s="76">
        <v>2</v>
      </c>
      <c r="I83" s="74" t="s">
        <v>473</v>
      </c>
      <c r="J83" s="71" t="s">
        <v>11</v>
      </c>
      <c r="K83" s="77">
        <v>1586483</v>
      </c>
      <c r="L83" s="77">
        <f t="shared" si="4"/>
        <v>3172966</v>
      </c>
      <c r="M83" s="67">
        <v>1440050.74</v>
      </c>
      <c r="N83" s="122">
        <f t="shared" si="5"/>
        <v>0.10168548644334585</v>
      </c>
      <c r="Q83" s="123" t="s">
        <v>541</v>
      </c>
      <c r="R83" s="67"/>
      <c r="S83" s="67" t="str">
        <f>Q83</f>
        <v>901730</v>
      </c>
    </row>
    <row r="84" spans="1:19" ht="35.1" customHeight="1">
      <c r="A84" s="71">
        <v>74</v>
      </c>
      <c r="B84" s="72" t="s">
        <v>146</v>
      </c>
      <c r="C84" s="72" t="s">
        <v>147</v>
      </c>
      <c r="D84" s="72" t="s">
        <v>147</v>
      </c>
      <c r="E84" s="129">
        <v>1430688</v>
      </c>
      <c r="F84" s="73" t="s">
        <v>9</v>
      </c>
      <c r="G84" s="73" t="s">
        <v>10</v>
      </c>
      <c r="H84" s="76">
        <v>4</v>
      </c>
      <c r="I84" s="74" t="s">
        <v>473</v>
      </c>
      <c r="J84" s="71" t="s">
        <v>11</v>
      </c>
      <c r="K84" s="77">
        <v>974</v>
      </c>
      <c r="L84" s="77">
        <f t="shared" si="4"/>
        <v>3896</v>
      </c>
      <c r="M84" s="67">
        <v>885.85</v>
      </c>
      <c r="N84" s="122">
        <f t="shared" si="5"/>
        <v>9.9508946209854843E-2</v>
      </c>
      <c r="Q84" s="123" t="e">
        <v>#N/A</v>
      </c>
      <c r="R84" s="125">
        <v>1430688</v>
      </c>
      <c r="S84" s="67">
        <f t="shared" ref="S84:S91" si="6">R84</f>
        <v>1430688</v>
      </c>
    </row>
    <row r="85" spans="1:19" ht="35.1" customHeight="1">
      <c r="A85" s="71">
        <v>75</v>
      </c>
      <c r="B85" s="72" t="s">
        <v>148</v>
      </c>
      <c r="C85" s="72" t="s">
        <v>149</v>
      </c>
      <c r="D85" s="72" t="s">
        <v>149</v>
      </c>
      <c r="E85" s="129">
        <v>1430689</v>
      </c>
      <c r="F85" s="73" t="s">
        <v>9</v>
      </c>
      <c r="G85" s="73" t="s">
        <v>10</v>
      </c>
      <c r="H85" s="76">
        <v>2</v>
      </c>
      <c r="I85" s="74" t="s">
        <v>473</v>
      </c>
      <c r="J85" s="71" t="s">
        <v>11</v>
      </c>
      <c r="K85" s="77">
        <v>2181</v>
      </c>
      <c r="L85" s="77">
        <f t="shared" si="4"/>
        <v>4362</v>
      </c>
      <c r="M85" s="67">
        <v>1984.3</v>
      </c>
      <c r="N85" s="122">
        <f t="shared" si="5"/>
        <v>9.9128156024794745E-2</v>
      </c>
      <c r="Q85" s="123" t="e">
        <v>#N/A</v>
      </c>
      <c r="R85" s="125">
        <v>1430689</v>
      </c>
      <c r="S85" s="67">
        <f t="shared" si="6"/>
        <v>1430689</v>
      </c>
    </row>
    <row r="86" spans="1:19" ht="35.1" customHeight="1">
      <c r="A86" s="71">
        <v>76</v>
      </c>
      <c r="B86" s="72" t="s">
        <v>150</v>
      </c>
      <c r="C86" s="72" t="s">
        <v>151</v>
      </c>
      <c r="D86" s="72" t="s">
        <v>151</v>
      </c>
      <c r="E86" s="129">
        <v>1430691</v>
      </c>
      <c r="F86" s="73" t="s">
        <v>9</v>
      </c>
      <c r="G86" s="73" t="s">
        <v>10</v>
      </c>
      <c r="H86" s="76">
        <v>2</v>
      </c>
      <c r="I86" s="74" t="s">
        <v>473</v>
      </c>
      <c r="J86" s="71" t="s">
        <v>11</v>
      </c>
      <c r="K86" s="77">
        <v>1966</v>
      </c>
      <c r="L86" s="77">
        <f t="shared" si="4"/>
        <v>3932</v>
      </c>
      <c r="M86" s="67">
        <v>1788.59</v>
      </c>
      <c r="N86" s="122">
        <f t="shared" si="5"/>
        <v>9.9189864641980652E-2</v>
      </c>
      <c r="Q86" s="123" t="e">
        <v>#N/A</v>
      </c>
      <c r="R86" s="125">
        <v>1430691</v>
      </c>
      <c r="S86" s="67">
        <f t="shared" si="6"/>
        <v>1430691</v>
      </c>
    </row>
    <row r="87" spans="1:19" ht="35.1" customHeight="1">
      <c r="A87" s="71">
        <v>77</v>
      </c>
      <c r="B87" s="72" t="s">
        <v>152</v>
      </c>
      <c r="C87" s="72" t="s">
        <v>153</v>
      </c>
      <c r="D87" s="72" t="s">
        <v>153</v>
      </c>
      <c r="E87" s="129">
        <v>1430692</v>
      </c>
      <c r="F87" s="73" t="s">
        <v>9</v>
      </c>
      <c r="G87" s="73" t="s">
        <v>10</v>
      </c>
      <c r="H87" s="76">
        <v>4</v>
      </c>
      <c r="I87" s="74" t="s">
        <v>473</v>
      </c>
      <c r="J87" s="71" t="s">
        <v>11</v>
      </c>
      <c r="K87" s="77">
        <v>1362</v>
      </c>
      <c r="L87" s="77">
        <f t="shared" si="4"/>
        <v>5448</v>
      </c>
      <c r="M87" s="67">
        <v>1239.4100000000001</v>
      </c>
      <c r="N87" s="122">
        <f t="shared" si="5"/>
        <v>9.8909965225389529E-2</v>
      </c>
      <c r="Q87" s="123" t="e">
        <v>#N/A</v>
      </c>
      <c r="R87" s="125">
        <v>1430692</v>
      </c>
      <c r="S87" s="67">
        <f t="shared" si="6"/>
        <v>1430692</v>
      </c>
    </row>
    <row r="88" spans="1:19" ht="35.1" customHeight="1">
      <c r="A88" s="71">
        <v>78</v>
      </c>
      <c r="B88" s="72" t="s">
        <v>152</v>
      </c>
      <c r="C88" s="72" t="s">
        <v>154</v>
      </c>
      <c r="D88" s="72" t="s">
        <v>154</v>
      </c>
      <c r="E88" s="129">
        <v>1430693</v>
      </c>
      <c r="F88" s="73" t="s">
        <v>9</v>
      </c>
      <c r="G88" s="73" t="s">
        <v>10</v>
      </c>
      <c r="H88" s="76">
        <v>2</v>
      </c>
      <c r="I88" s="74" t="s">
        <v>473</v>
      </c>
      <c r="J88" s="71" t="s">
        <v>11</v>
      </c>
      <c r="K88" s="77">
        <v>1103</v>
      </c>
      <c r="L88" s="77">
        <f t="shared" si="4"/>
        <v>2206</v>
      </c>
      <c r="M88" s="67">
        <v>1003.7</v>
      </c>
      <c r="N88" s="122">
        <f t="shared" si="5"/>
        <v>9.8933944405698915E-2</v>
      </c>
      <c r="Q88" s="123" t="e">
        <v>#N/A</v>
      </c>
      <c r="R88" s="125">
        <v>1430693</v>
      </c>
      <c r="S88" s="67">
        <f t="shared" si="6"/>
        <v>1430693</v>
      </c>
    </row>
    <row r="89" spans="1:19" ht="35.1" customHeight="1">
      <c r="A89" s="71">
        <v>79</v>
      </c>
      <c r="B89" s="72" t="s">
        <v>155</v>
      </c>
      <c r="C89" s="72" t="s">
        <v>156</v>
      </c>
      <c r="D89" s="72" t="s">
        <v>156</v>
      </c>
      <c r="E89" s="129">
        <v>1430694</v>
      </c>
      <c r="F89" s="73" t="s">
        <v>9</v>
      </c>
      <c r="G89" s="73" t="s">
        <v>10</v>
      </c>
      <c r="H89" s="76">
        <v>2</v>
      </c>
      <c r="I89" s="74" t="s">
        <v>473</v>
      </c>
      <c r="J89" s="71" t="s">
        <v>11</v>
      </c>
      <c r="K89" s="77">
        <v>960</v>
      </c>
      <c r="L89" s="77">
        <f t="shared" si="4"/>
        <v>1920</v>
      </c>
      <c r="M89" s="67">
        <v>873.26</v>
      </c>
      <c r="N89" s="122">
        <f t="shared" si="5"/>
        <v>9.9328951285985845E-2</v>
      </c>
      <c r="Q89" s="123" t="e">
        <v>#N/A</v>
      </c>
      <c r="R89" s="125">
        <v>1430694</v>
      </c>
      <c r="S89" s="67">
        <f t="shared" si="6"/>
        <v>1430694</v>
      </c>
    </row>
    <row r="90" spans="1:19" ht="35.1" customHeight="1">
      <c r="A90" s="71">
        <v>80</v>
      </c>
      <c r="B90" s="72" t="s">
        <v>157</v>
      </c>
      <c r="C90" s="72" t="s">
        <v>158</v>
      </c>
      <c r="D90" s="72" t="s">
        <v>158</v>
      </c>
      <c r="E90" s="129">
        <v>1430695</v>
      </c>
      <c r="F90" s="73" t="s">
        <v>9</v>
      </c>
      <c r="G90" s="73" t="s">
        <v>10</v>
      </c>
      <c r="H90" s="76">
        <v>4</v>
      </c>
      <c r="I90" s="74" t="s">
        <v>473</v>
      </c>
      <c r="J90" s="71" t="s">
        <v>11</v>
      </c>
      <c r="K90" s="77">
        <v>1383</v>
      </c>
      <c r="L90" s="77">
        <f t="shared" si="4"/>
        <v>5532</v>
      </c>
      <c r="M90" s="67">
        <v>1258.3699999999999</v>
      </c>
      <c r="N90" s="122">
        <f t="shared" si="5"/>
        <v>9.9040822651525584E-2</v>
      </c>
      <c r="Q90" s="123" t="e">
        <v>#N/A</v>
      </c>
      <c r="R90" s="125">
        <v>1430695</v>
      </c>
      <c r="S90" s="67">
        <f t="shared" si="6"/>
        <v>1430695</v>
      </c>
    </row>
    <row r="91" spans="1:19" ht="35.1" customHeight="1">
      <c r="A91" s="71">
        <v>81</v>
      </c>
      <c r="B91" s="72" t="s">
        <v>159</v>
      </c>
      <c r="C91" s="72" t="s">
        <v>160</v>
      </c>
      <c r="D91" s="72" t="s">
        <v>160</v>
      </c>
      <c r="E91" s="129">
        <v>1430696</v>
      </c>
      <c r="F91" s="73" t="s">
        <v>9</v>
      </c>
      <c r="G91" s="73" t="s">
        <v>10</v>
      </c>
      <c r="H91" s="76">
        <v>4</v>
      </c>
      <c r="I91" s="74" t="s">
        <v>473</v>
      </c>
      <c r="J91" s="71" t="s">
        <v>11</v>
      </c>
      <c r="K91" s="77">
        <v>1394</v>
      </c>
      <c r="L91" s="77">
        <f t="shared" si="4"/>
        <v>5576</v>
      </c>
      <c r="M91" s="67">
        <v>1268.8900000000001</v>
      </c>
      <c r="N91" s="122">
        <f t="shared" si="5"/>
        <v>9.8597987217174055E-2</v>
      </c>
      <c r="Q91" s="123" t="e">
        <v>#N/A</v>
      </c>
      <c r="R91" s="125">
        <v>1430696</v>
      </c>
      <c r="S91" s="67">
        <f t="shared" si="6"/>
        <v>1430696</v>
      </c>
    </row>
    <row r="92" spans="1:19" ht="35.1" customHeight="1">
      <c r="A92" s="71">
        <v>82</v>
      </c>
      <c r="B92" s="72" t="s">
        <v>161</v>
      </c>
      <c r="C92" s="79" t="s">
        <v>450</v>
      </c>
      <c r="D92" s="79" t="s">
        <v>162</v>
      </c>
      <c r="E92" s="127">
        <v>1285895</v>
      </c>
      <c r="F92" s="73" t="s">
        <v>9</v>
      </c>
      <c r="G92" s="73" t="s">
        <v>10</v>
      </c>
      <c r="H92" s="76">
        <v>1</v>
      </c>
      <c r="I92" s="74" t="s">
        <v>473</v>
      </c>
      <c r="J92" s="71" t="s">
        <v>11</v>
      </c>
      <c r="K92" s="77">
        <v>2445139</v>
      </c>
      <c r="L92" s="77">
        <f t="shared" si="4"/>
        <v>2445139</v>
      </c>
      <c r="M92" s="67">
        <v>2219453.33</v>
      </c>
      <c r="N92" s="122">
        <f t="shared" si="5"/>
        <v>0.10168525147586682</v>
      </c>
      <c r="Q92" s="123" t="s">
        <v>542</v>
      </c>
      <c r="R92" s="67"/>
      <c r="S92" s="67">
        <v>1285895</v>
      </c>
    </row>
    <row r="93" spans="1:19" ht="35.1" customHeight="1">
      <c r="A93" s="71">
        <v>83</v>
      </c>
      <c r="B93" s="72" t="s">
        <v>163</v>
      </c>
      <c r="C93" s="72" t="s">
        <v>438</v>
      </c>
      <c r="D93" s="72" t="s">
        <v>438</v>
      </c>
      <c r="E93" s="129">
        <v>1430699</v>
      </c>
      <c r="F93" s="73" t="s">
        <v>9</v>
      </c>
      <c r="G93" s="73" t="s">
        <v>10</v>
      </c>
      <c r="H93" s="76">
        <v>6</v>
      </c>
      <c r="I93" s="74" t="s">
        <v>473</v>
      </c>
      <c r="J93" s="71" t="s">
        <v>11</v>
      </c>
      <c r="K93" s="77">
        <v>25352</v>
      </c>
      <c r="L93" s="77">
        <f t="shared" si="4"/>
        <v>152112</v>
      </c>
      <c r="M93" s="67">
        <v>23103.63</v>
      </c>
      <c r="N93" s="122">
        <f t="shared" si="5"/>
        <v>9.7316742001148704E-2</v>
      </c>
      <c r="Q93" s="123" t="e">
        <v>#N/A</v>
      </c>
      <c r="R93" s="125">
        <v>1430699</v>
      </c>
      <c r="S93" s="67">
        <f>R93</f>
        <v>1430699</v>
      </c>
    </row>
    <row r="94" spans="1:19" ht="35.1" customHeight="1">
      <c r="A94" s="71">
        <v>84</v>
      </c>
      <c r="B94" s="72" t="s">
        <v>164</v>
      </c>
      <c r="C94" s="72" t="s">
        <v>440</v>
      </c>
      <c r="D94" s="72" t="s">
        <v>439</v>
      </c>
      <c r="E94" s="129">
        <v>1430700</v>
      </c>
      <c r="F94" s="73" t="s">
        <v>9</v>
      </c>
      <c r="G94" s="73" t="s">
        <v>10</v>
      </c>
      <c r="H94" s="76">
        <v>12</v>
      </c>
      <c r="I94" s="74" t="s">
        <v>473</v>
      </c>
      <c r="J94" s="71" t="s">
        <v>11</v>
      </c>
      <c r="K94" s="77">
        <v>1084</v>
      </c>
      <c r="L94" s="77">
        <f t="shared" si="4"/>
        <v>13008</v>
      </c>
      <c r="M94" s="67">
        <v>980</v>
      </c>
      <c r="N94" s="122">
        <f t="shared" si="5"/>
        <v>0.10612244897959178</v>
      </c>
      <c r="Q94" s="123" t="e">
        <v>#N/A</v>
      </c>
      <c r="R94" s="125">
        <v>1430700</v>
      </c>
      <c r="S94" s="67">
        <f>R94</f>
        <v>1430700</v>
      </c>
    </row>
    <row r="95" spans="1:19" ht="35.1" customHeight="1">
      <c r="A95" s="71">
        <v>85</v>
      </c>
      <c r="B95" s="72" t="s">
        <v>165</v>
      </c>
      <c r="C95" s="72" t="s">
        <v>166</v>
      </c>
      <c r="D95" s="72" t="s">
        <v>166</v>
      </c>
      <c r="E95" s="127">
        <v>990668</v>
      </c>
      <c r="F95" s="73" t="s">
        <v>9</v>
      </c>
      <c r="G95" s="73" t="s">
        <v>10</v>
      </c>
      <c r="H95" s="76">
        <v>4</v>
      </c>
      <c r="I95" s="74" t="s">
        <v>473</v>
      </c>
      <c r="J95" s="71" t="s">
        <v>11</v>
      </c>
      <c r="K95" s="77">
        <v>17565</v>
      </c>
      <c r="L95" s="77">
        <f t="shared" si="4"/>
        <v>70260</v>
      </c>
      <c r="M95" s="67">
        <v>15976.15</v>
      </c>
      <c r="N95" s="122">
        <f t="shared" si="5"/>
        <v>9.9451369697955982E-2</v>
      </c>
      <c r="Q95" s="114">
        <v>990668</v>
      </c>
      <c r="R95" s="67"/>
      <c r="S95" s="67">
        <v>990668</v>
      </c>
    </row>
    <row r="96" spans="1:19" ht="35.1" customHeight="1">
      <c r="A96" s="71">
        <v>86</v>
      </c>
      <c r="B96" s="72" t="s">
        <v>167</v>
      </c>
      <c r="C96" s="72" t="s">
        <v>168</v>
      </c>
      <c r="D96" s="72" t="s">
        <v>437</v>
      </c>
      <c r="E96" s="131">
        <v>988580</v>
      </c>
      <c r="F96" s="73" t="s">
        <v>9</v>
      </c>
      <c r="G96" s="73" t="s">
        <v>10</v>
      </c>
      <c r="H96" s="76">
        <v>5</v>
      </c>
      <c r="I96" s="74" t="s">
        <v>473</v>
      </c>
      <c r="J96" s="71" t="s">
        <v>11</v>
      </c>
      <c r="K96" s="77">
        <v>1197</v>
      </c>
      <c r="L96" s="77">
        <f t="shared" si="4"/>
        <v>5985</v>
      </c>
      <c r="M96" s="67">
        <v>1090.74</v>
      </c>
      <c r="N96" s="122">
        <f t="shared" si="5"/>
        <v>9.7420100115517938E-2</v>
      </c>
      <c r="Q96" s="123" t="s">
        <v>543</v>
      </c>
      <c r="R96" s="67"/>
      <c r="S96" s="67" t="str">
        <f>Q96</f>
        <v>988580</v>
      </c>
    </row>
    <row r="97" spans="1:19" ht="35.1" customHeight="1">
      <c r="A97" s="71">
        <v>87</v>
      </c>
      <c r="B97" s="72" t="s">
        <v>169</v>
      </c>
      <c r="C97" s="72" t="s">
        <v>170</v>
      </c>
      <c r="D97" s="72" t="s">
        <v>170</v>
      </c>
      <c r="E97" s="127">
        <v>1156393</v>
      </c>
      <c r="F97" s="73" t="s">
        <v>9</v>
      </c>
      <c r="G97" s="73" t="s">
        <v>10</v>
      </c>
      <c r="H97" s="76">
        <v>48</v>
      </c>
      <c r="I97" s="74" t="s">
        <v>473</v>
      </c>
      <c r="J97" s="71" t="s">
        <v>11</v>
      </c>
      <c r="K97" s="77">
        <v>14681</v>
      </c>
      <c r="L97" s="77">
        <f t="shared" si="4"/>
        <v>704688</v>
      </c>
      <c r="M97" s="67">
        <v>13268.59</v>
      </c>
      <c r="N97" s="122">
        <f t="shared" si="5"/>
        <v>0.1064476330943982</v>
      </c>
      <c r="Q97" s="123" t="s">
        <v>544</v>
      </c>
      <c r="R97" s="67"/>
      <c r="S97" s="67">
        <v>1156393</v>
      </c>
    </row>
    <row r="98" spans="1:19" ht="35.1" customHeight="1">
      <c r="A98" s="71">
        <v>88</v>
      </c>
      <c r="B98" s="72" t="s">
        <v>171</v>
      </c>
      <c r="C98" s="72" t="s">
        <v>172</v>
      </c>
      <c r="D98" s="72" t="s">
        <v>172</v>
      </c>
      <c r="E98" s="131">
        <v>1394656</v>
      </c>
      <c r="F98" s="73" t="s">
        <v>9</v>
      </c>
      <c r="G98" s="73" t="s">
        <v>10</v>
      </c>
      <c r="H98" s="76">
        <v>12</v>
      </c>
      <c r="I98" s="74" t="s">
        <v>473</v>
      </c>
      <c r="J98" s="71" t="s">
        <v>11</v>
      </c>
      <c r="K98" s="77">
        <v>1665</v>
      </c>
      <c r="L98" s="77">
        <f t="shared" si="4"/>
        <v>19980</v>
      </c>
      <c r="M98" s="67">
        <v>1514</v>
      </c>
      <c r="N98" s="122">
        <f t="shared" si="5"/>
        <v>9.9735799207397724E-2</v>
      </c>
      <c r="Q98" s="123" t="s">
        <v>545</v>
      </c>
      <c r="R98" s="67"/>
      <c r="S98" s="67" t="str">
        <f>Q98</f>
        <v>1394656</v>
      </c>
    </row>
    <row r="99" spans="1:19" ht="35.1" customHeight="1">
      <c r="A99" s="71">
        <v>89</v>
      </c>
      <c r="B99" s="72" t="s">
        <v>173</v>
      </c>
      <c r="C99" s="72" t="s">
        <v>174</v>
      </c>
      <c r="D99" s="72" t="s">
        <v>174</v>
      </c>
      <c r="E99" s="127">
        <v>870836</v>
      </c>
      <c r="F99" s="73" t="s">
        <v>9</v>
      </c>
      <c r="G99" s="73" t="s">
        <v>10</v>
      </c>
      <c r="H99" s="76">
        <v>5</v>
      </c>
      <c r="I99" s="74" t="s">
        <v>473</v>
      </c>
      <c r="J99" s="71" t="s">
        <v>11</v>
      </c>
      <c r="K99" s="77">
        <v>11866</v>
      </c>
      <c r="L99" s="77">
        <f t="shared" si="4"/>
        <v>59330</v>
      </c>
      <c r="M99" s="67">
        <v>10792.89</v>
      </c>
      <c r="N99" s="122">
        <f t="shared" si="5"/>
        <v>9.9427493470238382E-2</v>
      </c>
      <c r="Q99" s="114">
        <v>870836</v>
      </c>
      <c r="R99" s="67"/>
      <c r="S99" s="67">
        <v>870836</v>
      </c>
    </row>
    <row r="100" spans="1:19" ht="35.1" customHeight="1">
      <c r="A100" s="71">
        <v>90</v>
      </c>
      <c r="B100" s="72" t="s">
        <v>175</v>
      </c>
      <c r="C100" s="72" t="s">
        <v>176</v>
      </c>
      <c r="D100" s="72" t="s">
        <v>176</v>
      </c>
      <c r="E100" s="127">
        <v>1100494</v>
      </c>
      <c r="F100" s="73" t="s">
        <v>9</v>
      </c>
      <c r="G100" s="73" t="s">
        <v>10</v>
      </c>
      <c r="H100" s="76">
        <v>5</v>
      </c>
      <c r="I100" s="74" t="s">
        <v>473</v>
      </c>
      <c r="J100" s="71" t="s">
        <v>11</v>
      </c>
      <c r="K100" s="77">
        <v>5526</v>
      </c>
      <c r="L100" s="77">
        <f t="shared" si="4"/>
        <v>27630</v>
      </c>
      <c r="M100" s="67">
        <v>5035.8500000000004</v>
      </c>
      <c r="N100" s="122">
        <f t="shared" si="5"/>
        <v>9.7332128637667825E-2</v>
      </c>
      <c r="Q100" s="123" t="s">
        <v>546</v>
      </c>
      <c r="R100" s="67"/>
      <c r="S100" s="67">
        <v>1100494</v>
      </c>
    </row>
    <row r="101" spans="1:19" ht="35.1" customHeight="1">
      <c r="A101" s="71">
        <v>91</v>
      </c>
      <c r="B101" s="72" t="s">
        <v>177</v>
      </c>
      <c r="C101" s="72" t="s">
        <v>178</v>
      </c>
      <c r="D101" s="72" t="s">
        <v>178</v>
      </c>
      <c r="E101" s="127">
        <v>917579</v>
      </c>
      <c r="F101" s="73" t="s">
        <v>9</v>
      </c>
      <c r="G101" s="73" t="s">
        <v>10</v>
      </c>
      <c r="H101" s="76">
        <v>12</v>
      </c>
      <c r="I101" s="74" t="s">
        <v>473</v>
      </c>
      <c r="J101" s="71" t="s">
        <v>11</v>
      </c>
      <c r="K101" s="77">
        <v>1412</v>
      </c>
      <c r="L101" s="77">
        <f t="shared" si="4"/>
        <v>16944</v>
      </c>
      <c r="M101" s="67">
        <v>1284.5899999999999</v>
      </c>
      <c r="N101" s="122">
        <f t="shared" si="5"/>
        <v>9.9183397037186927E-2</v>
      </c>
      <c r="Q101" s="123" t="s">
        <v>547</v>
      </c>
      <c r="R101" s="67"/>
      <c r="S101" s="67">
        <v>917579</v>
      </c>
    </row>
    <row r="102" spans="1:19" ht="35.1" customHeight="1">
      <c r="A102" s="71">
        <v>92</v>
      </c>
      <c r="B102" s="115" t="s">
        <v>179</v>
      </c>
      <c r="C102" s="115" t="s">
        <v>180</v>
      </c>
      <c r="D102" s="115" t="s">
        <v>180</v>
      </c>
      <c r="E102" s="127">
        <v>1098594</v>
      </c>
      <c r="F102" s="117" t="s">
        <v>9</v>
      </c>
      <c r="G102" s="117" t="s">
        <v>10</v>
      </c>
      <c r="H102" s="118">
        <v>5</v>
      </c>
      <c r="I102" s="119" t="s">
        <v>473</v>
      </c>
      <c r="J102" s="120" t="s">
        <v>11</v>
      </c>
      <c r="K102" s="121">
        <v>3635</v>
      </c>
      <c r="L102" s="121">
        <f t="shared" si="4"/>
        <v>18175</v>
      </c>
      <c r="M102" s="67">
        <v>3312.59</v>
      </c>
      <c r="N102" s="122">
        <f t="shared" si="5"/>
        <v>9.7328676352944399E-2</v>
      </c>
      <c r="Q102" s="123" t="s">
        <v>548</v>
      </c>
      <c r="R102" s="67"/>
      <c r="S102" s="67">
        <v>1098594</v>
      </c>
    </row>
    <row r="103" spans="1:19" ht="35.1" customHeight="1">
      <c r="A103" s="71">
        <v>93</v>
      </c>
      <c r="B103" s="72" t="s">
        <v>165</v>
      </c>
      <c r="C103" s="72" t="s">
        <v>181</v>
      </c>
      <c r="D103" s="72" t="s">
        <v>181</v>
      </c>
      <c r="E103" s="127">
        <v>1186500</v>
      </c>
      <c r="F103" s="73" t="s">
        <v>9</v>
      </c>
      <c r="G103" s="73" t="s">
        <v>10</v>
      </c>
      <c r="H103" s="76">
        <v>8</v>
      </c>
      <c r="I103" s="74" t="s">
        <v>473</v>
      </c>
      <c r="J103" s="71" t="s">
        <v>11</v>
      </c>
      <c r="K103" s="77">
        <v>884</v>
      </c>
      <c r="L103" s="77">
        <f t="shared" si="4"/>
        <v>7072</v>
      </c>
      <c r="M103" s="67">
        <v>804.3</v>
      </c>
      <c r="N103" s="122">
        <f t="shared" si="5"/>
        <v>9.90923784657467E-2</v>
      </c>
      <c r="Q103" s="114">
        <v>1186500</v>
      </c>
      <c r="R103" s="67"/>
      <c r="S103" s="67">
        <v>1186500</v>
      </c>
    </row>
    <row r="104" spans="1:19" ht="35.1" customHeight="1">
      <c r="A104" s="71">
        <v>94</v>
      </c>
      <c r="B104" s="72" t="s">
        <v>182</v>
      </c>
      <c r="C104" s="72" t="s">
        <v>183</v>
      </c>
      <c r="D104" s="72" t="s">
        <v>183</v>
      </c>
      <c r="E104" s="127">
        <v>988576</v>
      </c>
      <c r="F104" s="73" t="s">
        <v>9</v>
      </c>
      <c r="G104" s="73" t="s">
        <v>10</v>
      </c>
      <c r="H104" s="76">
        <v>6</v>
      </c>
      <c r="I104" s="74" t="s">
        <v>473</v>
      </c>
      <c r="J104" s="71" t="s">
        <v>11</v>
      </c>
      <c r="K104" s="77">
        <v>692</v>
      </c>
      <c r="L104" s="77">
        <f t="shared" si="4"/>
        <v>4152</v>
      </c>
      <c r="M104" s="67">
        <v>630.80999999999995</v>
      </c>
      <c r="N104" s="122">
        <f t="shared" si="5"/>
        <v>9.7002266926649927E-2</v>
      </c>
      <c r="Q104" s="123" t="s">
        <v>549</v>
      </c>
      <c r="R104" s="67"/>
      <c r="S104" s="67">
        <v>988576</v>
      </c>
    </row>
    <row r="105" spans="1:19" ht="35.1" customHeight="1">
      <c r="A105" s="71">
        <v>95</v>
      </c>
      <c r="B105" s="72" t="s">
        <v>184</v>
      </c>
      <c r="C105" s="72" t="s">
        <v>185</v>
      </c>
      <c r="D105" s="72" t="s">
        <v>185</v>
      </c>
      <c r="E105" s="127">
        <v>976495</v>
      </c>
      <c r="F105" s="73" t="s">
        <v>9</v>
      </c>
      <c r="G105" s="73" t="s">
        <v>10</v>
      </c>
      <c r="H105" s="76">
        <v>2</v>
      </c>
      <c r="I105" s="74" t="s">
        <v>473</v>
      </c>
      <c r="J105" s="71" t="s">
        <v>11</v>
      </c>
      <c r="K105" s="77">
        <v>4599</v>
      </c>
      <c r="L105" s="77">
        <f t="shared" si="4"/>
        <v>9198</v>
      </c>
      <c r="M105" s="67">
        <v>4156.22</v>
      </c>
      <c r="N105" s="122">
        <f t="shared" si="5"/>
        <v>0.10653430280399001</v>
      </c>
      <c r="Q105" s="123" t="s">
        <v>550</v>
      </c>
      <c r="R105" s="67"/>
      <c r="S105" s="67">
        <v>976495</v>
      </c>
    </row>
    <row r="106" spans="1:19" ht="35.1" customHeight="1">
      <c r="A106" s="71">
        <v>96</v>
      </c>
      <c r="B106" s="72" t="s">
        <v>186</v>
      </c>
      <c r="C106" s="72" t="s">
        <v>187</v>
      </c>
      <c r="D106" s="72" t="s">
        <v>187</v>
      </c>
      <c r="E106" s="127">
        <v>1001832</v>
      </c>
      <c r="F106" s="73" t="s">
        <v>9</v>
      </c>
      <c r="G106" s="73" t="s">
        <v>10</v>
      </c>
      <c r="H106" s="76">
        <v>5</v>
      </c>
      <c r="I106" s="74" t="s">
        <v>473</v>
      </c>
      <c r="J106" s="71" t="s">
        <v>11</v>
      </c>
      <c r="K106" s="77">
        <v>1282</v>
      </c>
      <c r="L106" s="77">
        <f t="shared" si="4"/>
        <v>6410</v>
      </c>
      <c r="M106" s="67">
        <v>1166.1500000000001</v>
      </c>
      <c r="N106" s="122">
        <f t="shared" si="5"/>
        <v>9.9343995197873181E-2</v>
      </c>
      <c r="Q106" s="123" t="s">
        <v>551</v>
      </c>
      <c r="R106" s="67"/>
      <c r="S106" s="67">
        <v>1001832</v>
      </c>
    </row>
    <row r="107" spans="1:19" ht="35.1" customHeight="1">
      <c r="A107" s="71">
        <v>97</v>
      </c>
      <c r="B107" s="72" t="s">
        <v>188</v>
      </c>
      <c r="C107" s="72" t="s">
        <v>441</v>
      </c>
      <c r="D107" s="72" t="s">
        <v>441</v>
      </c>
      <c r="E107" s="129">
        <v>1430701</v>
      </c>
      <c r="F107" s="73" t="s">
        <v>9</v>
      </c>
      <c r="G107" s="73" t="s">
        <v>10</v>
      </c>
      <c r="H107" s="76">
        <v>8</v>
      </c>
      <c r="I107" s="74" t="s">
        <v>473</v>
      </c>
      <c r="J107" s="71" t="s">
        <v>11</v>
      </c>
      <c r="K107" s="77">
        <v>3916</v>
      </c>
      <c r="L107" s="77">
        <f t="shared" si="4"/>
        <v>31328</v>
      </c>
      <c r="M107" s="67">
        <v>3561.85</v>
      </c>
      <c r="N107" s="122">
        <f t="shared" si="5"/>
        <v>9.942866768673575E-2</v>
      </c>
      <c r="Q107" s="123" t="e">
        <v>#N/A</v>
      </c>
      <c r="R107" s="125">
        <v>1430701</v>
      </c>
      <c r="S107" s="67">
        <f>R107</f>
        <v>1430701</v>
      </c>
    </row>
    <row r="108" spans="1:19" ht="35.1" customHeight="1">
      <c r="A108" s="71">
        <v>98</v>
      </c>
      <c r="B108" s="72" t="s">
        <v>189</v>
      </c>
      <c r="C108" s="72" t="s">
        <v>190</v>
      </c>
      <c r="D108" s="72" t="s">
        <v>190</v>
      </c>
      <c r="E108" s="127">
        <v>870817</v>
      </c>
      <c r="F108" s="73" t="s">
        <v>9</v>
      </c>
      <c r="G108" s="73" t="s">
        <v>10</v>
      </c>
      <c r="H108" s="76">
        <v>6</v>
      </c>
      <c r="I108" s="74" t="s">
        <v>473</v>
      </c>
      <c r="J108" s="71" t="s">
        <v>11</v>
      </c>
      <c r="K108" s="77">
        <v>952</v>
      </c>
      <c r="L108" s="77">
        <f t="shared" si="4"/>
        <v>5712</v>
      </c>
      <c r="M108" s="67">
        <v>867.19</v>
      </c>
      <c r="N108" s="122">
        <f t="shared" si="5"/>
        <v>9.7798636976902387E-2</v>
      </c>
      <c r="Q108" s="114">
        <v>870817</v>
      </c>
      <c r="R108" s="67"/>
      <c r="S108" s="67">
        <v>870817</v>
      </c>
    </row>
    <row r="109" spans="1:19" ht="35.1" customHeight="1">
      <c r="A109" s="71">
        <v>99</v>
      </c>
      <c r="B109" s="72" t="s">
        <v>191</v>
      </c>
      <c r="C109" s="72" t="s">
        <v>192</v>
      </c>
      <c r="D109" s="72" t="s">
        <v>192</v>
      </c>
      <c r="E109" s="127">
        <v>976545</v>
      </c>
      <c r="F109" s="73" t="s">
        <v>9</v>
      </c>
      <c r="G109" s="73" t="s">
        <v>10</v>
      </c>
      <c r="H109" s="76">
        <v>6</v>
      </c>
      <c r="I109" s="74" t="s">
        <v>473</v>
      </c>
      <c r="J109" s="71" t="s">
        <v>11</v>
      </c>
      <c r="K109" s="77">
        <v>177</v>
      </c>
      <c r="L109" s="77">
        <f t="shared" si="4"/>
        <v>1062</v>
      </c>
      <c r="M109" s="67">
        <v>161.63</v>
      </c>
      <c r="N109" s="122">
        <f t="shared" si="5"/>
        <v>9.509373259914633E-2</v>
      </c>
      <c r="Q109" s="123" t="s">
        <v>552</v>
      </c>
      <c r="R109" s="67"/>
      <c r="S109" s="67">
        <v>976545</v>
      </c>
    </row>
    <row r="110" spans="1:19" ht="35.1" customHeight="1">
      <c r="A110" s="71">
        <v>100</v>
      </c>
      <c r="B110" s="72" t="s">
        <v>165</v>
      </c>
      <c r="C110" s="72" t="s">
        <v>193</v>
      </c>
      <c r="D110" s="72" t="s">
        <v>193</v>
      </c>
      <c r="E110" s="131">
        <v>1345597</v>
      </c>
      <c r="F110" s="73" t="s">
        <v>9</v>
      </c>
      <c r="G110" s="73" t="s">
        <v>10</v>
      </c>
      <c r="H110" s="76">
        <v>6</v>
      </c>
      <c r="I110" s="74" t="s">
        <v>473</v>
      </c>
      <c r="J110" s="71" t="s">
        <v>11</v>
      </c>
      <c r="K110" s="77">
        <v>265</v>
      </c>
      <c r="L110" s="77">
        <f t="shared" si="4"/>
        <v>1590</v>
      </c>
      <c r="M110" s="67">
        <v>240.96</v>
      </c>
      <c r="N110" s="122">
        <f t="shared" si="5"/>
        <v>9.9767596281540527E-2</v>
      </c>
      <c r="Q110" s="123" t="s">
        <v>553</v>
      </c>
      <c r="R110" s="67"/>
      <c r="S110" s="67" t="str">
        <f>Q110</f>
        <v>1345597</v>
      </c>
    </row>
    <row r="111" spans="1:19" ht="35.1" customHeight="1">
      <c r="A111" s="71">
        <v>101</v>
      </c>
      <c r="B111" s="72" t="s">
        <v>194</v>
      </c>
      <c r="C111" s="72" t="s">
        <v>451</v>
      </c>
      <c r="D111" s="72" t="s">
        <v>195</v>
      </c>
      <c r="E111" s="127">
        <v>961121</v>
      </c>
      <c r="F111" s="73" t="s">
        <v>9</v>
      </c>
      <c r="G111" s="73" t="s">
        <v>10</v>
      </c>
      <c r="H111" s="76">
        <v>6</v>
      </c>
      <c r="I111" s="74" t="s">
        <v>473</v>
      </c>
      <c r="J111" s="71" t="s">
        <v>11</v>
      </c>
      <c r="K111" s="77">
        <v>363</v>
      </c>
      <c r="L111" s="77">
        <f t="shared" si="4"/>
        <v>2178</v>
      </c>
      <c r="M111" s="67">
        <v>330.59</v>
      </c>
      <c r="N111" s="122">
        <f t="shared" si="5"/>
        <v>9.80368432196983E-2</v>
      </c>
      <c r="Q111" s="123" t="s">
        <v>554</v>
      </c>
      <c r="R111" s="67"/>
      <c r="S111" s="67">
        <v>961121</v>
      </c>
    </row>
    <row r="112" spans="1:19" ht="35.1" customHeight="1">
      <c r="A112" s="71">
        <v>102</v>
      </c>
      <c r="B112" s="72" t="s">
        <v>189</v>
      </c>
      <c r="C112" s="72" t="s">
        <v>196</v>
      </c>
      <c r="D112" s="72" t="s">
        <v>196</v>
      </c>
      <c r="E112" s="127">
        <v>976550</v>
      </c>
      <c r="F112" s="73" t="s">
        <v>9</v>
      </c>
      <c r="G112" s="73" t="s">
        <v>10</v>
      </c>
      <c r="H112" s="76">
        <v>6</v>
      </c>
      <c r="I112" s="74" t="s">
        <v>473</v>
      </c>
      <c r="J112" s="71" t="s">
        <v>11</v>
      </c>
      <c r="K112" s="77">
        <v>394</v>
      </c>
      <c r="L112" s="77">
        <f t="shared" si="4"/>
        <v>2364</v>
      </c>
      <c r="M112" s="67">
        <v>359.33</v>
      </c>
      <c r="N112" s="122">
        <f t="shared" si="5"/>
        <v>9.6485125093924928E-2</v>
      </c>
      <c r="Q112" s="114">
        <v>976550</v>
      </c>
      <c r="R112" s="67"/>
      <c r="S112" s="67">
        <v>976550</v>
      </c>
    </row>
    <row r="113" spans="1:19" ht="35.1" customHeight="1">
      <c r="A113" s="71">
        <v>103</v>
      </c>
      <c r="B113" s="72" t="s">
        <v>186</v>
      </c>
      <c r="C113" s="72" t="s">
        <v>197</v>
      </c>
      <c r="D113" s="72" t="s">
        <v>197</v>
      </c>
      <c r="E113" s="127">
        <v>1001800</v>
      </c>
      <c r="F113" s="73" t="s">
        <v>9</v>
      </c>
      <c r="G113" s="73" t="s">
        <v>10</v>
      </c>
      <c r="H113" s="76">
        <v>6</v>
      </c>
      <c r="I113" s="74" t="s">
        <v>473</v>
      </c>
      <c r="J113" s="71" t="s">
        <v>11</v>
      </c>
      <c r="K113" s="77">
        <v>94</v>
      </c>
      <c r="L113" s="77">
        <f t="shared" si="4"/>
        <v>564</v>
      </c>
      <c r="M113" s="67">
        <v>85.93</v>
      </c>
      <c r="N113" s="122">
        <f t="shared" si="5"/>
        <v>9.3913650645874425E-2</v>
      </c>
      <c r="Q113" s="123" t="s">
        <v>555</v>
      </c>
      <c r="R113" s="67"/>
      <c r="S113" s="67">
        <v>1001800</v>
      </c>
    </row>
    <row r="114" spans="1:19" ht="35.1" customHeight="1">
      <c r="A114" s="71">
        <v>104</v>
      </c>
      <c r="B114" s="72" t="s">
        <v>189</v>
      </c>
      <c r="C114" s="72" t="s">
        <v>198</v>
      </c>
      <c r="D114" s="72" t="s">
        <v>198</v>
      </c>
      <c r="E114" s="127">
        <v>976560</v>
      </c>
      <c r="F114" s="73" t="s">
        <v>9</v>
      </c>
      <c r="G114" s="73" t="s">
        <v>10</v>
      </c>
      <c r="H114" s="76">
        <v>6</v>
      </c>
      <c r="I114" s="74" t="s">
        <v>473</v>
      </c>
      <c r="J114" s="71" t="s">
        <v>11</v>
      </c>
      <c r="K114" s="77">
        <v>100</v>
      </c>
      <c r="L114" s="77">
        <f t="shared" si="4"/>
        <v>600</v>
      </c>
      <c r="M114" s="67">
        <v>91.26</v>
      </c>
      <c r="N114" s="122">
        <f t="shared" si="5"/>
        <v>9.5770326539557304E-2</v>
      </c>
      <c r="Q114" s="114">
        <v>976560</v>
      </c>
      <c r="R114" s="67"/>
      <c r="S114" s="67">
        <v>976560</v>
      </c>
    </row>
    <row r="115" spans="1:19" ht="35.1" customHeight="1">
      <c r="A115" s="71">
        <v>105</v>
      </c>
      <c r="B115" s="72" t="s">
        <v>189</v>
      </c>
      <c r="C115" s="72" t="s">
        <v>199</v>
      </c>
      <c r="D115" s="72" t="s">
        <v>199</v>
      </c>
      <c r="E115" s="127">
        <v>976553</v>
      </c>
      <c r="F115" s="73" t="s">
        <v>9</v>
      </c>
      <c r="G115" s="73" t="s">
        <v>10</v>
      </c>
      <c r="H115" s="76">
        <v>6</v>
      </c>
      <c r="I115" s="74" t="s">
        <v>473</v>
      </c>
      <c r="J115" s="71" t="s">
        <v>11</v>
      </c>
      <c r="K115" s="77">
        <v>263</v>
      </c>
      <c r="L115" s="77">
        <f t="shared" si="4"/>
        <v>1578</v>
      </c>
      <c r="M115" s="67">
        <v>239.63</v>
      </c>
      <c r="N115" s="122">
        <f t="shared" si="5"/>
        <v>9.7525351583691577E-2</v>
      </c>
      <c r="Q115" s="114">
        <v>976553</v>
      </c>
      <c r="R115" s="67"/>
      <c r="S115" s="67">
        <v>976553</v>
      </c>
    </row>
    <row r="116" spans="1:19" ht="35.1" customHeight="1">
      <c r="A116" s="71">
        <v>106</v>
      </c>
      <c r="B116" s="72" t="s">
        <v>200</v>
      </c>
      <c r="C116" s="72" t="s">
        <v>201</v>
      </c>
      <c r="D116" s="72" t="s">
        <v>201</v>
      </c>
      <c r="E116" s="131">
        <v>1156425</v>
      </c>
      <c r="F116" s="73" t="s">
        <v>9</v>
      </c>
      <c r="G116" s="73" t="s">
        <v>10</v>
      </c>
      <c r="H116" s="76">
        <v>6</v>
      </c>
      <c r="I116" s="74" t="s">
        <v>473</v>
      </c>
      <c r="J116" s="71" t="s">
        <v>11</v>
      </c>
      <c r="K116" s="77">
        <v>604</v>
      </c>
      <c r="L116" s="77">
        <f t="shared" si="4"/>
        <v>3624</v>
      </c>
      <c r="M116" s="67">
        <v>550.89</v>
      </c>
      <c r="N116" s="122">
        <f t="shared" si="5"/>
        <v>9.6407631287552809E-2</v>
      </c>
      <c r="Q116" s="123" t="s">
        <v>556</v>
      </c>
      <c r="R116" s="67"/>
      <c r="S116" s="67" t="str">
        <f>Q116</f>
        <v>1156425</v>
      </c>
    </row>
    <row r="117" spans="1:19" ht="35.1" customHeight="1">
      <c r="A117" s="71">
        <v>107</v>
      </c>
      <c r="B117" s="72" t="s">
        <v>189</v>
      </c>
      <c r="C117" s="72" t="s">
        <v>202</v>
      </c>
      <c r="D117" s="72" t="s">
        <v>202</v>
      </c>
      <c r="E117" s="127">
        <v>976557</v>
      </c>
      <c r="F117" s="73" t="s">
        <v>9</v>
      </c>
      <c r="G117" s="73" t="s">
        <v>10</v>
      </c>
      <c r="H117" s="76">
        <v>6</v>
      </c>
      <c r="I117" s="74" t="s">
        <v>473</v>
      </c>
      <c r="J117" s="71" t="s">
        <v>11</v>
      </c>
      <c r="K117" s="77">
        <v>65</v>
      </c>
      <c r="L117" s="77">
        <f t="shared" si="4"/>
        <v>390</v>
      </c>
      <c r="M117" s="67">
        <v>59.33</v>
      </c>
      <c r="N117" s="122">
        <f t="shared" si="5"/>
        <v>9.5567166694758177E-2</v>
      </c>
      <c r="Q117" s="114">
        <v>976557</v>
      </c>
      <c r="R117" s="67"/>
      <c r="S117" s="67">
        <v>976557</v>
      </c>
    </row>
    <row r="118" spans="1:19" ht="35.1" customHeight="1">
      <c r="A118" s="71">
        <v>108</v>
      </c>
      <c r="B118" s="72" t="s">
        <v>189</v>
      </c>
      <c r="C118" s="72" t="s">
        <v>203</v>
      </c>
      <c r="D118" s="72" t="s">
        <v>203</v>
      </c>
      <c r="E118" s="127">
        <v>976568</v>
      </c>
      <c r="F118" s="73" t="s">
        <v>9</v>
      </c>
      <c r="G118" s="73" t="s">
        <v>10</v>
      </c>
      <c r="H118" s="76">
        <v>6</v>
      </c>
      <c r="I118" s="74" t="s">
        <v>473</v>
      </c>
      <c r="J118" s="71" t="s">
        <v>11</v>
      </c>
      <c r="K118" s="77">
        <v>100</v>
      </c>
      <c r="L118" s="77">
        <f t="shared" si="4"/>
        <v>600</v>
      </c>
      <c r="M118" s="67">
        <v>91.26</v>
      </c>
      <c r="N118" s="122">
        <f t="shared" si="5"/>
        <v>9.5770326539557304E-2</v>
      </c>
      <c r="Q118" s="114">
        <v>976568</v>
      </c>
      <c r="R118" s="67"/>
      <c r="S118" s="67">
        <v>976568</v>
      </c>
    </row>
    <row r="119" spans="1:19" ht="35.1" customHeight="1">
      <c r="A119" s="71">
        <v>109</v>
      </c>
      <c r="B119" s="72" t="s">
        <v>186</v>
      </c>
      <c r="C119" s="72" t="s">
        <v>204</v>
      </c>
      <c r="D119" s="72" t="s">
        <v>204</v>
      </c>
      <c r="E119" s="127">
        <v>1098607</v>
      </c>
      <c r="F119" s="73" t="s">
        <v>9</v>
      </c>
      <c r="G119" s="73" t="s">
        <v>10</v>
      </c>
      <c r="H119" s="76">
        <v>6</v>
      </c>
      <c r="I119" s="74" t="s">
        <v>473</v>
      </c>
      <c r="J119" s="71" t="s">
        <v>11</v>
      </c>
      <c r="K119" s="77">
        <v>99</v>
      </c>
      <c r="L119" s="77">
        <f t="shared" si="4"/>
        <v>594</v>
      </c>
      <c r="M119" s="67">
        <v>90</v>
      </c>
      <c r="N119" s="122">
        <f t="shared" si="5"/>
        <v>0.10000000000000009</v>
      </c>
      <c r="Q119" s="123" t="s">
        <v>557</v>
      </c>
      <c r="R119" s="67"/>
      <c r="S119" s="67">
        <v>1098607</v>
      </c>
    </row>
    <row r="120" spans="1:19" ht="35.1" customHeight="1">
      <c r="A120" s="71">
        <v>110</v>
      </c>
      <c r="B120" s="72" t="s">
        <v>186</v>
      </c>
      <c r="C120" s="72" t="s">
        <v>205</v>
      </c>
      <c r="D120" s="72" t="s">
        <v>205</v>
      </c>
      <c r="E120" s="131">
        <v>1156442</v>
      </c>
      <c r="F120" s="73" t="s">
        <v>9</v>
      </c>
      <c r="G120" s="73" t="s">
        <v>10</v>
      </c>
      <c r="H120" s="76">
        <v>5</v>
      </c>
      <c r="I120" s="74" t="s">
        <v>473</v>
      </c>
      <c r="J120" s="71" t="s">
        <v>11</v>
      </c>
      <c r="K120" s="77">
        <v>771</v>
      </c>
      <c r="L120" s="77">
        <f t="shared" si="4"/>
        <v>3855</v>
      </c>
      <c r="M120" s="67">
        <v>702.3</v>
      </c>
      <c r="N120" s="122">
        <f t="shared" si="5"/>
        <v>9.7821443827424304E-2</v>
      </c>
      <c r="Q120" s="123" t="s">
        <v>558</v>
      </c>
      <c r="R120" s="67"/>
      <c r="S120" s="67" t="str">
        <f>Q120</f>
        <v>1156442</v>
      </c>
    </row>
    <row r="121" spans="1:19" ht="35.1" customHeight="1">
      <c r="A121" s="71">
        <v>111</v>
      </c>
      <c r="B121" s="72" t="s">
        <v>165</v>
      </c>
      <c r="C121" s="72" t="s">
        <v>181</v>
      </c>
      <c r="D121" s="72" t="s">
        <v>181</v>
      </c>
      <c r="E121" s="127">
        <v>1186500</v>
      </c>
      <c r="F121" s="73" t="s">
        <v>9</v>
      </c>
      <c r="G121" s="73" t="s">
        <v>10</v>
      </c>
      <c r="H121" s="76">
        <v>4</v>
      </c>
      <c r="I121" s="74" t="s">
        <v>473</v>
      </c>
      <c r="J121" s="71" t="s">
        <v>11</v>
      </c>
      <c r="K121" s="77">
        <v>884</v>
      </c>
      <c r="L121" s="77">
        <f t="shared" si="4"/>
        <v>3536</v>
      </c>
      <c r="M121" s="67">
        <v>804.3</v>
      </c>
      <c r="N121" s="122">
        <f t="shared" si="5"/>
        <v>9.90923784657467E-2</v>
      </c>
      <c r="Q121" s="114">
        <v>1186500</v>
      </c>
      <c r="R121" s="67"/>
      <c r="S121" s="67">
        <v>1186500</v>
      </c>
    </row>
    <row r="122" spans="1:19" ht="35.1" customHeight="1">
      <c r="A122" s="71">
        <v>112</v>
      </c>
      <c r="B122" s="72" t="s">
        <v>206</v>
      </c>
      <c r="C122" s="72" t="s">
        <v>442</v>
      </c>
      <c r="D122" s="72" t="s">
        <v>481</v>
      </c>
      <c r="E122" s="129">
        <v>1430702</v>
      </c>
      <c r="F122" s="73" t="s">
        <v>9</v>
      </c>
      <c r="G122" s="73" t="s">
        <v>10</v>
      </c>
      <c r="H122" s="76">
        <v>12</v>
      </c>
      <c r="I122" s="74" t="s">
        <v>473</v>
      </c>
      <c r="J122" s="71" t="s">
        <v>11</v>
      </c>
      <c r="K122" s="77">
        <v>13653</v>
      </c>
      <c r="L122" s="77">
        <f t="shared" si="4"/>
        <v>163836</v>
      </c>
      <c r="M122" s="67">
        <v>12412.96</v>
      </c>
      <c r="N122" s="122">
        <f t="shared" si="5"/>
        <v>9.9898815431613386E-2</v>
      </c>
      <c r="Q122" s="123" t="e">
        <v>#N/A</v>
      </c>
      <c r="R122" s="125">
        <v>1430702</v>
      </c>
      <c r="S122" s="67">
        <f>R122</f>
        <v>1430702</v>
      </c>
    </row>
    <row r="123" spans="1:19" ht="35.1" customHeight="1">
      <c r="A123" s="71">
        <v>113</v>
      </c>
      <c r="B123" s="72" t="s">
        <v>207</v>
      </c>
      <c r="C123" s="72" t="s">
        <v>208</v>
      </c>
      <c r="D123" s="72" t="s">
        <v>208</v>
      </c>
      <c r="E123" s="127">
        <v>869417</v>
      </c>
      <c r="F123" s="73" t="s">
        <v>9</v>
      </c>
      <c r="G123" s="73" t="s">
        <v>10</v>
      </c>
      <c r="H123" s="76">
        <v>10</v>
      </c>
      <c r="I123" s="74" t="s">
        <v>473</v>
      </c>
      <c r="J123" s="71" t="s">
        <v>11</v>
      </c>
      <c r="K123" s="77">
        <v>23500</v>
      </c>
      <c r="L123" s="77">
        <f t="shared" si="4"/>
        <v>235000</v>
      </c>
      <c r="M123" s="67">
        <v>21365.63</v>
      </c>
      <c r="N123" s="122">
        <f t="shared" si="5"/>
        <v>9.9897358514586143E-2</v>
      </c>
      <c r="Q123" s="123" t="s">
        <v>559</v>
      </c>
      <c r="R123" s="67"/>
      <c r="S123" s="67">
        <v>869417</v>
      </c>
    </row>
    <row r="124" spans="1:19" ht="35.1" customHeight="1">
      <c r="A124" s="71">
        <v>114</v>
      </c>
      <c r="B124" s="72" t="s">
        <v>209</v>
      </c>
      <c r="C124" s="72" t="s">
        <v>210</v>
      </c>
      <c r="D124" s="72" t="s">
        <v>210</v>
      </c>
      <c r="E124" s="127">
        <v>1286815</v>
      </c>
      <c r="F124" s="73" t="s">
        <v>9</v>
      </c>
      <c r="G124" s="73" t="s">
        <v>10</v>
      </c>
      <c r="H124" s="76">
        <v>10</v>
      </c>
      <c r="I124" s="74" t="s">
        <v>473</v>
      </c>
      <c r="J124" s="71" t="s">
        <v>11</v>
      </c>
      <c r="K124" s="77">
        <v>8655</v>
      </c>
      <c r="L124" s="77">
        <f t="shared" si="4"/>
        <v>86550</v>
      </c>
      <c r="M124" s="67">
        <v>7887.26</v>
      </c>
      <c r="N124" s="122">
        <f t="shared" si="5"/>
        <v>9.7339253428947448E-2</v>
      </c>
      <c r="Q124" s="123" t="s">
        <v>560</v>
      </c>
      <c r="R124" s="67"/>
      <c r="S124" s="67">
        <v>1286815</v>
      </c>
    </row>
    <row r="125" spans="1:19" ht="35.1" customHeight="1">
      <c r="A125" s="71">
        <v>115</v>
      </c>
      <c r="B125" s="72" t="s">
        <v>211</v>
      </c>
      <c r="C125" s="72">
        <v>1904</v>
      </c>
      <c r="D125" s="72">
        <v>1904</v>
      </c>
      <c r="E125" s="127">
        <v>976494</v>
      </c>
      <c r="F125" s="73" t="s">
        <v>9</v>
      </c>
      <c r="G125" s="73" t="s">
        <v>10</v>
      </c>
      <c r="H125" s="76">
        <v>9</v>
      </c>
      <c r="I125" s="74" t="s">
        <v>473</v>
      </c>
      <c r="J125" s="71" t="s">
        <v>11</v>
      </c>
      <c r="K125" s="77">
        <v>71302</v>
      </c>
      <c r="L125" s="77">
        <f t="shared" si="4"/>
        <v>641718</v>
      </c>
      <c r="M125" s="67">
        <v>64442.59</v>
      </c>
      <c r="N125" s="122">
        <f t="shared" si="5"/>
        <v>0.10644218365525049</v>
      </c>
      <c r="Q125" s="114">
        <v>976494</v>
      </c>
      <c r="R125" s="67"/>
      <c r="S125" s="67">
        <v>976494</v>
      </c>
    </row>
    <row r="126" spans="1:19" ht="35.1" customHeight="1">
      <c r="A126" s="71">
        <v>116</v>
      </c>
      <c r="B126" s="72" t="s">
        <v>212</v>
      </c>
      <c r="C126" s="72" t="s">
        <v>213</v>
      </c>
      <c r="D126" s="72" t="s">
        <v>213</v>
      </c>
      <c r="E126" s="127">
        <v>1286825</v>
      </c>
      <c r="F126" s="73" t="s">
        <v>9</v>
      </c>
      <c r="G126" s="73" t="s">
        <v>10</v>
      </c>
      <c r="H126" s="76">
        <v>5</v>
      </c>
      <c r="I126" s="74" t="s">
        <v>473</v>
      </c>
      <c r="J126" s="71" t="s">
        <v>11</v>
      </c>
      <c r="K126" s="77">
        <v>188616</v>
      </c>
      <c r="L126" s="77">
        <f t="shared" si="4"/>
        <v>943080</v>
      </c>
      <c r="M126" s="67">
        <v>170471.78</v>
      </c>
      <c r="N126" s="122">
        <f t="shared" si="5"/>
        <v>0.1064353290615021</v>
      </c>
      <c r="Q126" s="123" t="s">
        <v>561</v>
      </c>
      <c r="R126" s="67"/>
      <c r="S126" s="67">
        <v>1286825</v>
      </c>
    </row>
    <row r="127" spans="1:19" ht="35.1" customHeight="1">
      <c r="A127" s="71">
        <v>117</v>
      </c>
      <c r="B127" s="72" t="s">
        <v>212</v>
      </c>
      <c r="C127" s="72" t="s">
        <v>214</v>
      </c>
      <c r="D127" s="72" t="s">
        <v>214</v>
      </c>
      <c r="E127" s="129">
        <v>1403506</v>
      </c>
      <c r="F127" s="73" t="s">
        <v>9</v>
      </c>
      <c r="G127" s="73" t="s">
        <v>10</v>
      </c>
      <c r="H127" s="76">
        <v>5</v>
      </c>
      <c r="I127" s="74" t="s">
        <v>473</v>
      </c>
      <c r="J127" s="71" t="s">
        <v>11</v>
      </c>
      <c r="K127" s="77">
        <v>163514</v>
      </c>
      <c r="L127" s="77">
        <f t="shared" si="4"/>
        <v>817570</v>
      </c>
      <c r="M127" s="67">
        <v>147784.67000000001</v>
      </c>
      <c r="N127" s="122">
        <f t="shared" si="5"/>
        <v>0.10643411119705437</v>
      </c>
      <c r="Q127" s="123">
        <v>1403506</v>
      </c>
      <c r="R127" s="67"/>
      <c r="S127" s="67">
        <f>Q127</f>
        <v>1403506</v>
      </c>
    </row>
    <row r="128" spans="1:19" ht="35.1" customHeight="1">
      <c r="A128" s="71">
        <v>118</v>
      </c>
      <c r="B128" s="72" t="s">
        <v>215</v>
      </c>
      <c r="C128" s="72" t="s">
        <v>216</v>
      </c>
      <c r="D128" s="72" t="s">
        <v>216</v>
      </c>
      <c r="E128" s="127">
        <v>869414</v>
      </c>
      <c r="F128" s="73" t="s">
        <v>9</v>
      </c>
      <c r="G128" s="73" t="s">
        <v>10</v>
      </c>
      <c r="H128" s="76">
        <v>12</v>
      </c>
      <c r="I128" s="74" t="s">
        <v>473</v>
      </c>
      <c r="J128" s="71" t="s">
        <v>11</v>
      </c>
      <c r="K128" s="77">
        <v>34947</v>
      </c>
      <c r="L128" s="77">
        <f t="shared" si="4"/>
        <v>419364</v>
      </c>
      <c r="M128" s="67">
        <v>31797.63</v>
      </c>
      <c r="N128" s="122">
        <f t="shared" si="5"/>
        <v>9.9044174046933664E-2</v>
      </c>
      <c r="Q128" s="123" t="s">
        <v>562</v>
      </c>
      <c r="R128" s="67"/>
      <c r="S128" s="67">
        <v>869414</v>
      </c>
    </row>
    <row r="129" spans="1:19" ht="35.1" customHeight="1">
      <c r="A129" s="71">
        <v>119</v>
      </c>
      <c r="B129" s="72" t="s">
        <v>215</v>
      </c>
      <c r="C129" s="72" t="s">
        <v>217</v>
      </c>
      <c r="D129" s="72" t="s">
        <v>217</v>
      </c>
      <c r="E129" s="127">
        <v>869415</v>
      </c>
      <c r="F129" s="73" t="s">
        <v>9</v>
      </c>
      <c r="G129" s="73" t="s">
        <v>10</v>
      </c>
      <c r="H129" s="76">
        <v>12</v>
      </c>
      <c r="I129" s="74" t="s">
        <v>473</v>
      </c>
      <c r="J129" s="71" t="s">
        <v>11</v>
      </c>
      <c r="K129" s="77">
        <v>39142</v>
      </c>
      <c r="L129" s="77">
        <f t="shared" si="4"/>
        <v>469704</v>
      </c>
      <c r="M129" s="67">
        <v>35615.480000000003</v>
      </c>
      <c r="N129" s="122">
        <f t="shared" si="5"/>
        <v>9.901649507461352E-2</v>
      </c>
      <c r="Q129" s="123" t="s">
        <v>563</v>
      </c>
      <c r="R129" s="67"/>
      <c r="S129" s="67">
        <v>869415</v>
      </c>
    </row>
    <row r="130" spans="1:19" ht="35.1" customHeight="1">
      <c r="A130" s="71">
        <v>120</v>
      </c>
      <c r="B130" s="72" t="s">
        <v>218</v>
      </c>
      <c r="C130" s="72">
        <v>5653011310</v>
      </c>
      <c r="D130" s="72">
        <v>5653011310</v>
      </c>
      <c r="E130" s="127">
        <v>869752</v>
      </c>
      <c r="F130" s="73" t="s">
        <v>9</v>
      </c>
      <c r="G130" s="73" t="s">
        <v>10</v>
      </c>
      <c r="H130" s="76">
        <v>19</v>
      </c>
      <c r="I130" s="74" t="s">
        <v>473</v>
      </c>
      <c r="J130" s="71" t="s">
        <v>11</v>
      </c>
      <c r="K130" s="77">
        <v>8272</v>
      </c>
      <c r="L130" s="77">
        <f t="shared" si="4"/>
        <v>157168</v>
      </c>
      <c r="M130" s="67">
        <v>7526.3</v>
      </c>
      <c r="N130" s="122">
        <f t="shared" si="5"/>
        <v>9.9079228837543054E-2</v>
      </c>
      <c r="Q130" s="114">
        <v>869752</v>
      </c>
      <c r="R130" s="67"/>
      <c r="S130" s="67">
        <v>869752</v>
      </c>
    </row>
    <row r="131" spans="1:19" ht="35.1" customHeight="1">
      <c r="A131" s="71">
        <v>121</v>
      </c>
      <c r="B131" s="72" t="s">
        <v>219</v>
      </c>
      <c r="C131" s="72" t="s">
        <v>220</v>
      </c>
      <c r="D131" s="72" t="s">
        <v>220</v>
      </c>
      <c r="E131" s="127">
        <v>975837</v>
      </c>
      <c r="F131" s="73" t="s">
        <v>9</v>
      </c>
      <c r="G131" s="73" t="s">
        <v>10</v>
      </c>
      <c r="H131" s="76">
        <v>6</v>
      </c>
      <c r="I131" s="74" t="s">
        <v>473</v>
      </c>
      <c r="J131" s="71" t="s">
        <v>11</v>
      </c>
      <c r="K131" s="77">
        <v>10873</v>
      </c>
      <c r="L131" s="77">
        <f t="shared" si="4"/>
        <v>65238</v>
      </c>
      <c r="M131" s="67">
        <v>9893.56</v>
      </c>
      <c r="N131" s="122">
        <f t="shared" si="5"/>
        <v>9.8997731857895399E-2</v>
      </c>
      <c r="Q131" s="123" t="s">
        <v>564</v>
      </c>
      <c r="R131" s="67"/>
      <c r="S131" s="67">
        <v>975837</v>
      </c>
    </row>
    <row r="132" spans="1:19" ht="35.1" customHeight="1">
      <c r="A132" s="71">
        <v>122</v>
      </c>
      <c r="B132" s="72" t="s">
        <v>221</v>
      </c>
      <c r="C132" s="72" t="s">
        <v>222</v>
      </c>
      <c r="D132" s="72" t="s">
        <v>222</v>
      </c>
      <c r="E132" s="127">
        <v>975844</v>
      </c>
      <c r="F132" s="73" t="s">
        <v>9</v>
      </c>
      <c r="G132" s="73" t="s">
        <v>10</v>
      </c>
      <c r="H132" s="76">
        <v>6</v>
      </c>
      <c r="I132" s="74" t="s">
        <v>473</v>
      </c>
      <c r="J132" s="71" t="s">
        <v>11</v>
      </c>
      <c r="K132" s="77">
        <v>27157</v>
      </c>
      <c r="L132" s="77">
        <f t="shared" si="4"/>
        <v>162942</v>
      </c>
      <c r="M132" s="67">
        <v>24748.44</v>
      </c>
      <c r="N132" s="122">
        <f t="shared" si="5"/>
        <v>9.7321689771153297E-2</v>
      </c>
      <c r="Q132" s="123" t="s">
        <v>565</v>
      </c>
      <c r="R132" s="67"/>
      <c r="S132" s="67">
        <v>975844</v>
      </c>
    </row>
    <row r="133" spans="1:19" ht="35.1" customHeight="1">
      <c r="A133" s="71">
        <v>123</v>
      </c>
      <c r="B133" s="72" t="s">
        <v>223</v>
      </c>
      <c r="C133" s="72">
        <v>821302500</v>
      </c>
      <c r="D133" s="72">
        <v>821302500</v>
      </c>
      <c r="E133" s="127">
        <v>976508</v>
      </c>
      <c r="F133" s="73" t="s">
        <v>9</v>
      </c>
      <c r="G133" s="73" t="s">
        <v>10</v>
      </c>
      <c r="H133" s="76">
        <v>10</v>
      </c>
      <c r="I133" s="74" t="s">
        <v>473</v>
      </c>
      <c r="J133" s="71" t="s">
        <v>11</v>
      </c>
      <c r="K133" s="77">
        <v>2378</v>
      </c>
      <c r="L133" s="77">
        <f t="shared" si="4"/>
        <v>23780</v>
      </c>
      <c r="M133" s="67">
        <v>2164.0700000000002</v>
      </c>
      <c r="N133" s="122">
        <f t="shared" si="5"/>
        <v>9.8855397468658568E-2</v>
      </c>
      <c r="Q133" s="114">
        <v>976508</v>
      </c>
      <c r="R133" s="67"/>
      <c r="S133" s="67">
        <v>976508</v>
      </c>
    </row>
    <row r="134" spans="1:19" ht="35.1" customHeight="1">
      <c r="A134" s="71">
        <v>124</v>
      </c>
      <c r="B134" s="115" t="s">
        <v>224</v>
      </c>
      <c r="C134" s="115" t="s">
        <v>372</v>
      </c>
      <c r="D134" s="115" t="s">
        <v>225</v>
      </c>
      <c r="E134" s="127">
        <v>976498</v>
      </c>
      <c r="F134" s="117" t="s">
        <v>9</v>
      </c>
      <c r="G134" s="117" t="s">
        <v>10</v>
      </c>
      <c r="H134" s="118">
        <v>6</v>
      </c>
      <c r="I134" s="119" t="s">
        <v>473</v>
      </c>
      <c r="J134" s="120" t="s">
        <v>11</v>
      </c>
      <c r="K134" s="121">
        <v>8816</v>
      </c>
      <c r="L134" s="121">
        <f t="shared" si="4"/>
        <v>52896</v>
      </c>
      <c r="M134" s="67">
        <v>7968.07</v>
      </c>
      <c r="N134" s="122">
        <f t="shared" si="5"/>
        <v>0.10641598279131581</v>
      </c>
      <c r="Q134" s="123" t="s">
        <v>566</v>
      </c>
      <c r="R134" s="67"/>
      <c r="S134" s="67">
        <v>976498</v>
      </c>
    </row>
    <row r="135" spans="1:19" ht="35.1" customHeight="1">
      <c r="A135" s="71">
        <v>125</v>
      </c>
      <c r="B135" s="72" t="s">
        <v>226</v>
      </c>
      <c r="C135" s="72" t="s">
        <v>227</v>
      </c>
      <c r="D135" s="72" t="s">
        <v>227</v>
      </c>
      <c r="E135" s="127">
        <v>1285884</v>
      </c>
      <c r="F135" s="73" t="s">
        <v>9</v>
      </c>
      <c r="G135" s="73" t="s">
        <v>10</v>
      </c>
      <c r="H135" s="76">
        <v>9</v>
      </c>
      <c r="I135" s="74" t="s">
        <v>473</v>
      </c>
      <c r="J135" s="71" t="s">
        <v>11</v>
      </c>
      <c r="K135" s="77">
        <v>10832</v>
      </c>
      <c r="L135" s="77">
        <f t="shared" si="4"/>
        <v>97488</v>
      </c>
      <c r="M135" s="67">
        <v>9871.0400000000009</v>
      </c>
      <c r="N135" s="122">
        <f t="shared" si="5"/>
        <v>9.7351444224721861E-2</v>
      </c>
      <c r="Q135" s="123" t="s">
        <v>567</v>
      </c>
      <c r="R135" s="67"/>
      <c r="S135" s="67">
        <v>1285884</v>
      </c>
    </row>
    <row r="136" spans="1:19" ht="35.1" customHeight="1">
      <c r="A136" s="71">
        <v>126</v>
      </c>
      <c r="B136" s="115" t="s">
        <v>224</v>
      </c>
      <c r="C136" s="115" t="s">
        <v>228</v>
      </c>
      <c r="D136" s="115" t="s">
        <v>436</v>
      </c>
      <c r="E136" s="130">
        <v>1224776</v>
      </c>
      <c r="F136" s="117" t="s">
        <v>9</v>
      </c>
      <c r="G136" s="117" t="s">
        <v>10</v>
      </c>
      <c r="H136" s="118">
        <v>3</v>
      </c>
      <c r="I136" s="119" t="s">
        <v>473</v>
      </c>
      <c r="J136" s="120" t="s">
        <v>11</v>
      </c>
      <c r="K136" s="121">
        <v>8352</v>
      </c>
      <c r="L136" s="121">
        <f t="shared" si="4"/>
        <v>25056</v>
      </c>
      <c r="M136" s="67">
        <v>7548.96</v>
      </c>
      <c r="N136" s="122">
        <f t="shared" si="5"/>
        <v>0.10637756724105052</v>
      </c>
      <c r="Q136" s="123" t="s">
        <v>568</v>
      </c>
      <c r="R136" s="67"/>
      <c r="S136" s="67">
        <v>1224776</v>
      </c>
    </row>
    <row r="137" spans="1:19" ht="35.1" customHeight="1">
      <c r="A137" s="71">
        <v>127</v>
      </c>
      <c r="B137" s="72" t="s">
        <v>229</v>
      </c>
      <c r="C137" s="72" t="s">
        <v>230</v>
      </c>
      <c r="D137" s="72" t="s">
        <v>230</v>
      </c>
      <c r="E137" s="127">
        <v>1107458</v>
      </c>
      <c r="F137" s="73" t="s">
        <v>9</v>
      </c>
      <c r="G137" s="73" t="s">
        <v>10</v>
      </c>
      <c r="H137" s="76">
        <v>3</v>
      </c>
      <c r="I137" s="74" t="s">
        <v>473</v>
      </c>
      <c r="J137" s="71" t="s">
        <v>11</v>
      </c>
      <c r="K137" s="77">
        <v>1066</v>
      </c>
      <c r="L137" s="77">
        <f t="shared" si="4"/>
        <v>3198</v>
      </c>
      <c r="M137" s="67">
        <v>970.59</v>
      </c>
      <c r="N137" s="122">
        <f t="shared" si="5"/>
        <v>9.8301033392060422E-2</v>
      </c>
      <c r="Q137" s="123" t="s">
        <v>569</v>
      </c>
      <c r="R137" s="67"/>
      <c r="S137" s="67">
        <v>1107458</v>
      </c>
    </row>
    <row r="138" spans="1:19" ht="35.1" customHeight="1">
      <c r="A138" s="71">
        <v>128</v>
      </c>
      <c r="B138" s="72" t="s">
        <v>231</v>
      </c>
      <c r="C138" s="72">
        <v>47723683001</v>
      </c>
      <c r="D138" s="72">
        <v>47723683001</v>
      </c>
      <c r="E138" s="127">
        <v>1225105</v>
      </c>
      <c r="F138" s="73" t="s">
        <v>9</v>
      </c>
      <c r="G138" s="73" t="s">
        <v>10</v>
      </c>
      <c r="H138" s="76">
        <v>4</v>
      </c>
      <c r="I138" s="74" t="s">
        <v>473</v>
      </c>
      <c r="J138" s="71" t="s">
        <v>11</v>
      </c>
      <c r="K138" s="77">
        <v>4423</v>
      </c>
      <c r="L138" s="77">
        <f t="shared" ref="L138:L157" si="7">K138*H138</f>
        <v>17692</v>
      </c>
      <c r="M138" s="67">
        <v>4027.48</v>
      </c>
      <c r="N138" s="122">
        <f t="shared" si="5"/>
        <v>9.8205329387110574E-2</v>
      </c>
      <c r="Q138" s="114">
        <v>1225105</v>
      </c>
      <c r="R138" s="67"/>
      <c r="S138" s="67">
        <v>1225105</v>
      </c>
    </row>
    <row r="139" spans="1:19" ht="35.1" customHeight="1">
      <c r="A139" s="71">
        <v>129</v>
      </c>
      <c r="B139" s="72" t="s">
        <v>232</v>
      </c>
      <c r="C139" s="72">
        <v>54654652</v>
      </c>
      <c r="D139" s="72">
        <v>54654652</v>
      </c>
      <c r="E139" s="127">
        <v>976452</v>
      </c>
      <c r="F139" s="73" t="s">
        <v>9</v>
      </c>
      <c r="G139" s="73" t="s">
        <v>10</v>
      </c>
      <c r="H139" s="76">
        <v>4</v>
      </c>
      <c r="I139" s="74" t="s">
        <v>473</v>
      </c>
      <c r="J139" s="71" t="s">
        <v>11</v>
      </c>
      <c r="K139" s="77">
        <v>4662</v>
      </c>
      <c r="L139" s="77">
        <f t="shared" si="7"/>
        <v>18648</v>
      </c>
      <c r="M139" s="67">
        <v>4238.8100000000004</v>
      </c>
      <c r="N139" s="122">
        <f t="shared" si="5"/>
        <v>9.9836982549347475E-2</v>
      </c>
      <c r="Q139" s="114">
        <v>976452</v>
      </c>
      <c r="R139" s="67"/>
      <c r="S139" s="67">
        <v>976452</v>
      </c>
    </row>
    <row r="140" spans="1:19" ht="35.1" customHeight="1">
      <c r="A140" s="71">
        <v>130</v>
      </c>
      <c r="B140" s="72" t="s">
        <v>232</v>
      </c>
      <c r="C140" s="72">
        <v>54774302</v>
      </c>
      <c r="D140" s="72">
        <v>54774302</v>
      </c>
      <c r="E140" s="127">
        <v>976451</v>
      </c>
      <c r="F140" s="73" t="s">
        <v>9</v>
      </c>
      <c r="G140" s="73" t="s">
        <v>10</v>
      </c>
      <c r="H140" s="76">
        <v>4</v>
      </c>
      <c r="I140" s="74" t="s">
        <v>473</v>
      </c>
      <c r="J140" s="71" t="s">
        <v>11</v>
      </c>
      <c r="K140" s="77">
        <v>2922</v>
      </c>
      <c r="L140" s="77">
        <f t="shared" si="7"/>
        <v>11688</v>
      </c>
      <c r="M140" s="67">
        <v>2656.3</v>
      </c>
      <c r="N140" s="122">
        <f t="shared" ref="N140:N157" si="8">K140/M140-1</f>
        <v>0.10002635244513036</v>
      </c>
      <c r="Q140" s="114">
        <v>976451</v>
      </c>
      <c r="R140" s="67"/>
      <c r="S140" s="67">
        <v>976451</v>
      </c>
    </row>
    <row r="141" spans="1:19" ht="35.1" customHeight="1">
      <c r="A141" s="71">
        <v>131</v>
      </c>
      <c r="B141" s="72" t="s">
        <v>233</v>
      </c>
      <c r="C141" s="72">
        <v>89265060</v>
      </c>
      <c r="D141" s="72">
        <v>89265060</v>
      </c>
      <c r="E141" s="129">
        <v>969832</v>
      </c>
      <c r="F141" s="73" t="s">
        <v>9</v>
      </c>
      <c r="G141" s="73" t="s">
        <v>10</v>
      </c>
      <c r="H141" s="76">
        <v>4</v>
      </c>
      <c r="I141" s="74" t="s">
        <v>473</v>
      </c>
      <c r="J141" s="71" t="s">
        <v>11</v>
      </c>
      <c r="K141" s="77">
        <v>2967</v>
      </c>
      <c r="L141" s="77">
        <f t="shared" si="7"/>
        <v>11868</v>
      </c>
      <c r="M141" s="67">
        <v>2693.19</v>
      </c>
      <c r="N141" s="122">
        <f t="shared" si="8"/>
        <v>0.10166753923785543</v>
      </c>
      <c r="Q141" s="123">
        <v>969832</v>
      </c>
      <c r="R141" s="67"/>
      <c r="S141" s="67">
        <f>Q141</f>
        <v>969832</v>
      </c>
    </row>
    <row r="142" spans="1:19" ht="35.1" customHeight="1">
      <c r="A142" s="71">
        <v>132</v>
      </c>
      <c r="B142" s="72" t="s">
        <v>234</v>
      </c>
      <c r="C142" s="72">
        <v>47708373001</v>
      </c>
      <c r="D142" s="72">
        <v>47708373001</v>
      </c>
      <c r="E142" s="127">
        <v>1225106</v>
      </c>
      <c r="F142" s="73" t="s">
        <v>9</v>
      </c>
      <c r="G142" s="73" t="s">
        <v>10</v>
      </c>
      <c r="H142" s="76">
        <v>3</v>
      </c>
      <c r="I142" s="74" t="s">
        <v>473</v>
      </c>
      <c r="J142" s="71" t="s">
        <v>11</v>
      </c>
      <c r="K142" s="77">
        <v>1693</v>
      </c>
      <c r="L142" s="77">
        <f t="shared" si="7"/>
        <v>5079</v>
      </c>
      <c r="M142" s="67">
        <v>1539.48</v>
      </c>
      <c r="N142" s="122">
        <f t="shared" si="8"/>
        <v>9.9721984046561074E-2</v>
      </c>
      <c r="Q142" s="114">
        <v>1225106</v>
      </c>
      <c r="R142" s="67"/>
      <c r="S142" s="67">
        <v>1225106</v>
      </c>
    </row>
    <row r="143" spans="1:19" ht="35.1" customHeight="1">
      <c r="A143" s="71">
        <v>133</v>
      </c>
      <c r="B143" s="72" t="s">
        <v>234</v>
      </c>
      <c r="C143" s="72">
        <v>47708080001</v>
      </c>
      <c r="D143" s="72">
        <v>47708080001</v>
      </c>
      <c r="E143" s="127">
        <v>1225112</v>
      </c>
      <c r="F143" s="73" t="s">
        <v>9</v>
      </c>
      <c r="G143" s="73" t="s">
        <v>10</v>
      </c>
      <c r="H143" s="76">
        <v>3</v>
      </c>
      <c r="I143" s="74" t="s">
        <v>473</v>
      </c>
      <c r="J143" s="71" t="s">
        <v>11</v>
      </c>
      <c r="K143" s="77">
        <v>617</v>
      </c>
      <c r="L143" s="77">
        <f t="shared" si="7"/>
        <v>1851</v>
      </c>
      <c r="M143" s="67">
        <v>561.33000000000004</v>
      </c>
      <c r="N143" s="122">
        <f t="shared" si="8"/>
        <v>9.9175173249247184E-2</v>
      </c>
      <c r="Q143" s="114">
        <v>1225112</v>
      </c>
      <c r="R143" s="67"/>
      <c r="S143" s="67">
        <v>1225112</v>
      </c>
    </row>
    <row r="144" spans="1:19" ht="35.1" customHeight="1">
      <c r="A144" s="71">
        <v>134</v>
      </c>
      <c r="B144" s="115" t="s">
        <v>224</v>
      </c>
      <c r="C144" s="115">
        <v>1827231035</v>
      </c>
      <c r="D144" s="115">
        <v>1827231035</v>
      </c>
      <c r="E144" s="127">
        <v>976461</v>
      </c>
      <c r="F144" s="117" t="s">
        <v>9</v>
      </c>
      <c r="G144" s="117" t="s">
        <v>10</v>
      </c>
      <c r="H144" s="118">
        <v>1</v>
      </c>
      <c r="I144" s="119" t="s">
        <v>473</v>
      </c>
      <c r="J144" s="120" t="s">
        <v>11</v>
      </c>
      <c r="K144" s="121">
        <v>721</v>
      </c>
      <c r="L144" s="121">
        <f t="shared" si="7"/>
        <v>721</v>
      </c>
      <c r="M144" s="67">
        <v>651.48</v>
      </c>
      <c r="N144" s="122">
        <f t="shared" si="8"/>
        <v>0.10671087370295318</v>
      </c>
      <c r="Q144" s="116">
        <v>976461</v>
      </c>
      <c r="R144" s="67"/>
      <c r="S144" s="67">
        <v>976461</v>
      </c>
    </row>
    <row r="145" spans="1:19" ht="35.1" customHeight="1">
      <c r="A145" s="71">
        <v>135</v>
      </c>
      <c r="B145" s="72" t="s">
        <v>235</v>
      </c>
      <c r="C145" s="72">
        <v>47612383001</v>
      </c>
      <c r="D145" s="72">
        <v>47612383001</v>
      </c>
      <c r="E145" s="127">
        <v>1225107</v>
      </c>
      <c r="F145" s="73" t="s">
        <v>9</v>
      </c>
      <c r="G145" s="73" t="s">
        <v>10</v>
      </c>
      <c r="H145" s="76">
        <v>2</v>
      </c>
      <c r="I145" s="74" t="s">
        <v>473</v>
      </c>
      <c r="J145" s="71" t="s">
        <v>11</v>
      </c>
      <c r="K145" s="77">
        <v>2752</v>
      </c>
      <c r="L145" s="77">
        <f t="shared" si="7"/>
        <v>5504</v>
      </c>
      <c r="M145" s="67">
        <v>2499.85</v>
      </c>
      <c r="N145" s="122">
        <f t="shared" si="8"/>
        <v>0.10086605196311793</v>
      </c>
      <c r="Q145" s="114">
        <v>1225107</v>
      </c>
      <c r="R145" s="67"/>
      <c r="S145" s="67">
        <v>1225107</v>
      </c>
    </row>
    <row r="146" spans="1:19" ht="35.1" customHeight="1">
      <c r="A146" s="71">
        <v>136</v>
      </c>
      <c r="B146" s="72" t="s">
        <v>236</v>
      </c>
      <c r="C146" s="72" t="s">
        <v>237</v>
      </c>
      <c r="D146" s="72" t="s">
        <v>237</v>
      </c>
      <c r="E146" s="127">
        <v>953566</v>
      </c>
      <c r="F146" s="73" t="s">
        <v>9</v>
      </c>
      <c r="G146" s="73" t="s">
        <v>10</v>
      </c>
      <c r="H146" s="76">
        <v>14</v>
      </c>
      <c r="I146" s="74" t="s">
        <v>473</v>
      </c>
      <c r="J146" s="71" t="s">
        <v>11</v>
      </c>
      <c r="K146" s="77">
        <v>50560</v>
      </c>
      <c r="L146" s="77">
        <f t="shared" si="7"/>
        <v>707840</v>
      </c>
      <c r="M146" s="67">
        <v>46243.41</v>
      </c>
      <c r="N146" s="122">
        <f t="shared" si="8"/>
        <v>9.3344976073347352E-2</v>
      </c>
      <c r="Q146" s="123" t="s">
        <v>570</v>
      </c>
      <c r="R146" s="67"/>
      <c r="S146" s="67">
        <v>953566</v>
      </c>
    </row>
    <row r="147" spans="1:19" ht="35.1" customHeight="1">
      <c r="A147" s="71">
        <v>137</v>
      </c>
      <c r="B147" s="72" t="s">
        <v>238</v>
      </c>
      <c r="C147" s="72" t="s">
        <v>239</v>
      </c>
      <c r="D147" s="72" t="s">
        <v>239</v>
      </c>
      <c r="E147" s="127">
        <v>975744</v>
      </c>
      <c r="F147" s="73" t="s">
        <v>9</v>
      </c>
      <c r="G147" s="73" t="s">
        <v>10</v>
      </c>
      <c r="H147" s="76">
        <v>50</v>
      </c>
      <c r="I147" s="74" t="s">
        <v>473</v>
      </c>
      <c r="J147" s="71" t="s">
        <v>11</v>
      </c>
      <c r="K147" s="77">
        <v>4182</v>
      </c>
      <c r="L147" s="77">
        <f t="shared" si="7"/>
        <v>209100</v>
      </c>
      <c r="M147" s="67">
        <v>3805.56</v>
      </c>
      <c r="N147" s="122">
        <f t="shared" si="8"/>
        <v>9.8918424620817902E-2</v>
      </c>
      <c r="Q147" s="123" t="s">
        <v>571</v>
      </c>
      <c r="R147" s="67"/>
      <c r="S147" s="67">
        <v>975744</v>
      </c>
    </row>
    <row r="148" spans="1:19" ht="35.1" customHeight="1">
      <c r="A148" s="71">
        <v>138</v>
      </c>
      <c r="B148" s="72" t="s">
        <v>240</v>
      </c>
      <c r="C148" s="72" t="s">
        <v>241</v>
      </c>
      <c r="D148" s="72" t="s">
        <v>241</v>
      </c>
      <c r="E148" s="127">
        <v>1285886</v>
      </c>
      <c r="F148" s="73" t="s">
        <v>9</v>
      </c>
      <c r="G148" s="73" t="s">
        <v>10</v>
      </c>
      <c r="H148" s="76">
        <v>4</v>
      </c>
      <c r="I148" s="74" t="s">
        <v>473</v>
      </c>
      <c r="J148" s="71" t="s">
        <v>11</v>
      </c>
      <c r="K148" s="77">
        <v>2140</v>
      </c>
      <c r="L148" s="77">
        <f t="shared" si="7"/>
        <v>8560</v>
      </c>
      <c r="M148" s="67">
        <v>1946.81</v>
      </c>
      <c r="N148" s="122">
        <f t="shared" si="8"/>
        <v>9.9234131733451081E-2</v>
      </c>
      <c r="Q148" s="123" t="s">
        <v>572</v>
      </c>
      <c r="R148" s="67"/>
      <c r="S148" s="67">
        <v>1285886</v>
      </c>
    </row>
    <row r="149" spans="1:19" ht="35.1" customHeight="1">
      <c r="A149" s="71">
        <v>139</v>
      </c>
      <c r="B149" s="72" t="s">
        <v>242</v>
      </c>
      <c r="C149" s="72" t="s">
        <v>243</v>
      </c>
      <c r="D149" s="72" t="s">
        <v>243</v>
      </c>
      <c r="E149" s="127">
        <v>1285888</v>
      </c>
      <c r="F149" s="73" t="s">
        <v>9</v>
      </c>
      <c r="G149" s="73" t="s">
        <v>10</v>
      </c>
      <c r="H149" s="76">
        <v>8</v>
      </c>
      <c r="I149" s="74" t="s">
        <v>473</v>
      </c>
      <c r="J149" s="71" t="s">
        <v>11</v>
      </c>
      <c r="K149" s="77">
        <v>370</v>
      </c>
      <c r="L149" s="77">
        <f t="shared" si="7"/>
        <v>2960</v>
      </c>
      <c r="M149" s="67">
        <v>336.96</v>
      </c>
      <c r="N149" s="122">
        <f t="shared" si="8"/>
        <v>9.8053181386514865E-2</v>
      </c>
      <c r="Q149" s="123" t="s">
        <v>573</v>
      </c>
      <c r="R149" s="67"/>
      <c r="S149" s="67">
        <v>1285888</v>
      </c>
    </row>
    <row r="150" spans="1:19" ht="35.1" customHeight="1">
      <c r="A150" s="71">
        <v>140</v>
      </c>
      <c r="B150" s="72" t="s">
        <v>244</v>
      </c>
      <c r="C150" s="72" t="s">
        <v>245</v>
      </c>
      <c r="D150" s="72" t="s">
        <v>245</v>
      </c>
      <c r="E150" s="127">
        <v>1285889</v>
      </c>
      <c r="F150" s="73" t="s">
        <v>9</v>
      </c>
      <c r="G150" s="73" t="s">
        <v>10</v>
      </c>
      <c r="H150" s="76">
        <v>4</v>
      </c>
      <c r="I150" s="74" t="s">
        <v>473</v>
      </c>
      <c r="J150" s="71" t="s">
        <v>11</v>
      </c>
      <c r="K150" s="77">
        <v>1619</v>
      </c>
      <c r="L150" s="77">
        <f t="shared" si="7"/>
        <v>6476</v>
      </c>
      <c r="M150" s="67">
        <v>1472.96</v>
      </c>
      <c r="N150" s="122">
        <f t="shared" si="8"/>
        <v>9.9147295242233202E-2</v>
      </c>
      <c r="Q150" s="123" t="s">
        <v>574</v>
      </c>
      <c r="R150" s="67"/>
      <c r="S150" s="67">
        <v>1285889</v>
      </c>
    </row>
    <row r="151" spans="1:19" ht="35.1" customHeight="1">
      <c r="A151" s="71">
        <v>141</v>
      </c>
      <c r="B151" s="72" t="s">
        <v>246</v>
      </c>
      <c r="C151" s="72" t="s">
        <v>247</v>
      </c>
      <c r="D151" s="72" t="s">
        <v>247</v>
      </c>
      <c r="E151" s="127">
        <v>1285890</v>
      </c>
      <c r="F151" s="73" t="s">
        <v>9</v>
      </c>
      <c r="G151" s="73" t="s">
        <v>10</v>
      </c>
      <c r="H151" s="76">
        <v>8</v>
      </c>
      <c r="I151" s="74" t="s">
        <v>473</v>
      </c>
      <c r="J151" s="71" t="s">
        <v>11</v>
      </c>
      <c r="K151" s="77">
        <v>1332</v>
      </c>
      <c r="L151" s="77">
        <f t="shared" si="7"/>
        <v>10656</v>
      </c>
      <c r="M151" s="67">
        <v>1211.8499999999999</v>
      </c>
      <c r="N151" s="122">
        <f t="shared" si="8"/>
        <v>9.9145933902710759E-2</v>
      </c>
      <c r="Q151" s="123" t="s">
        <v>575</v>
      </c>
      <c r="R151" s="67"/>
      <c r="S151" s="67">
        <v>1285890</v>
      </c>
    </row>
    <row r="152" spans="1:19" ht="35.1" customHeight="1">
      <c r="A152" s="71">
        <v>142</v>
      </c>
      <c r="B152" s="72" t="s">
        <v>248</v>
      </c>
      <c r="C152" s="72" t="s">
        <v>249</v>
      </c>
      <c r="D152" s="72" t="s">
        <v>249</v>
      </c>
      <c r="E152" s="127">
        <v>1285893</v>
      </c>
      <c r="F152" s="73" t="s">
        <v>9</v>
      </c>
      <c r="G152" s="73" t="s">
        <v>10</v>
      </c>
      <c r="H152" s="76">
        <v>4</v>
      </c>
      <c r="I152" s="74" t="s">
        <v>473</v>
      </c>
      <c r="J152" s="71" t="s">
        <v>11</v>
      </c>
      <c r="K152" s="77">
        <v>34</v>
      </c>
      <c r="L152" s="77">
        <f t="shared" si="7"/>
        <v>136</v>
      </c>
      <c r="M152" s="67">
        <v>31.41</v>
      </c>
      <c r="N152" s="122">
        <f t="shared" si="8"/>
        <v>8.2457815982171168E-2</v>
      </c>
      <c r="Q152" s="114">
        <v>1285893</v>
      </c>
      <c r="R152" s="67"/>
      <c r="S152" s="67">
        <v>1285893</v>
      </c>
    </row>
    <row r="153" spans="1:19" ht="35.1" customHeight="1">
      <c r="A153" s="71">
        <v>143</v>
      </c>
      <c r="B153" s="72" t="s">
        <v>250</v>
      </c>
      <c r="C153" s="72" t="s">
        <v>251</v>
      </c>
      <c r="D153" s="72" t="s">
        <v>251</v>
      </c>
      <c r="E153" s="127">
        <v>1174077</v>
      </c>
      <c r="F153" s="73" t="s">
        <v>9</v>
      </c>
      <c r="G153" s="73" t="s">
        <v>10</v>
      </c>
      <c r="H153" s="76">
        <v>2</v>
      </c>
      <c r="I153" s="74" t="s">
        <v>473</v>
      </c>
      <c r="J153" s="71" t="s">
        <v>11</v>
      </c>
      <c r="K153" s="77">
        <v>96</v>
      </c>
      <c r="L153" s="77">
        <f t="shared" si="7"/>
        <v>192</v>
      </c>
      <c r="M153" s="67">
        <v>87.26</v>
      </c>
      <c r="N153" s="122">
        <f t="shared" si="8"/>
        <v>0.10016044006417602</v>
      </c>
      <c r="Q153" s="114">
        <v>1174077</v>
      </c>
      <c r="R153" s="67"/>
      <c r="S153" s="67">
        <v>1174077</v>
      </c>
    </row>
    <row r="154" spans="1:19" ht="35.1" customHeight="1">
      <c r="A154" s="71">
        <v>144</v>
      </c>
      <c r="B154" s="72" t="s">
        <v>252</v>
      </c>
      <c r="C154" s="72" t="s">
        <v>443</v>
      </c>
      <c r="D154" s="72" t="s">
        <v>443</v>
      </c>
      <c r="E154" s="129">
        <v>1430705</v>
      </c>
      <c r="F154" s="73" t="s">
        <v>9</v>
      </c>
      <c r="G154" s="73" t="s">
        <v>10</v>
      </c>
      <c r="H154" s="76">
        <v>1</v>
      </c>
      <c r="I154" s="74" t="s">
        <v>473</v>
      </c>
      <c r="J154" s="71" t="s">
        <v>11</v>
      </c>
      <c r="K154" s="77">
        <v>71011</v>
      </c>
      <c r="L154" s="77">
        <f t="shared" si="7"/>
        <v>71011</v>
      </c>
      <c r="M154" s="67">
        <v>64612.44</v>
      </c>
      <c r="N154" s="122">
        <f t="shared" si="8"/>
        <v>9.9029846264898858E-2</v>
      </c>
      <c r="Q154" s="123" t="e">
        <v>#N/A</v>
      </c>
      <c r="R154" s="125">
        <v>1430705</v>
      </c>
      <c r="S154" s="67">
        <f>R154</f>
        <v>1430705</v>
      </c>
    </row>
    <row r="155" spans="1:19" ht="35.1" customHeight="1">
      <c r="A155" s="71">
        <v>145</v>
      </c>
      <c r="B155" s="72" t="s">
        <v>253</v>
      </c>
      <c r="C155" s="72" t="s">
        <v>452</v>
      </c>
      <c r="D155" s="72" t="s">
        <v>254</v>
      </c>
      <c r="E155" s="127">
        <v>917581</v>
      </c>
      <c r="F155" s="73" t="s">
        <v>9</v>
      </c>
      <c r="G155" s="73" t="s">
        <v>10</v>
      </c>
      <c r="H155" s="76">
        <v>1</v>
      </c>
      <c r="I155" s="74" t="s">
        <v>473</v>
      </c>
      <c r="J155" s="71" t="s">
        <v>11</v>
      </c>
      <c r="K155" s="77">
        <v>1101</v>
      </c>
      <c r="L155" s="77">
        <f t="shared" si="7"/>
        <v>1101</v>
      </c>
      <c r="M155" s="67">
        <v>1003.7</v>
      </c>
      <c r="N155" s="122">
        <f t="shared" si="8"/>
        <v>9.6941317126631343E-2</v>
      </c>
      <c r="Q155" s="123" t="s">
        <v>576</v>
      </c>
      <c r="R155" s="67"/>
      <c r="S155" s="67">
        <v>917581</v>
      </c>
    </row>
    <row r="156" spans="1:19" ht="35.1" customHeight="1">
      <c r="A156" s="71">
        <v>146</v>
      </c>
      <c r="B156" s="72" t="s">
        <v>188</v>
      </c>
      <c r="C156" s="72" t="s">
        <v>255</v>
      </c>
      <c r="D156" s="72" t="s">
        <v>255</v>
      </c>
      <c r="E156" s="127">
        <v>976567</v>
      </c>
      <c r="F156" s="73" t="s">
        <v>9</v>
      </c>
      <c r="G156" s="73" t="s">
        <v>10</v>
      </c>
      <c r="H156" s="76">
        <v>2</v>
      </c>
      <c r="I156" s="74" t="s">
        <v>473</v>
      </c>
      <c r="J156" s="71" t="s">
        <v>11</v>
      </c>
      <c r="K156" s="77">
        <v>166</v>
      </c>
      <c r="L156" s="77">
        <f t="shared" si="7"/>
        <v>332</v>
      </c>
      <c r="M156" s="67">
        <v>150.81</v>
      </c>
      <c r="N156" s="122">
        <f t="shared" si="8"/>
        <v>0.10072276374245748</v>
      </c>
      <c r="Q156" s="114">
        <v>976567</v>
      </c>
      <c r="R156" s="67"/>
      <c r="S156" s="67">
        <v>976567</v>
      </c>
    </row>
    <row r="157" spans="1:19" ht="35.1" customHeight="1">
      <c r="A157" s="71">
        <v>147</v>
      </c>
      <c r="B157" s="72" t="s">
        <v>194</v>
      </c>
      <c r="C157" s="72" t="s">
        <v>256</v>
      </c>
      <c r="D157" s="72" t="s">
        <v>256</v>
      </c>
      <c r="E157" s="127">
        <v>870824</v>
      </c>
      <c r="F157" s="73" t="s">
        <v>9</v>
      </c>
      <c r="G157" s="73" t="s">
        <v>10</v>
      </c>
      <c r="H157" s="76">
        <v>2</v>
      </c>
      <c r="I157" s="74" t="s">
        <v>473</v>
      </c>
      <c r="J157" s="71" t="s">
        <v>11</v>
      </c>
      <c r="K157" s="77">
        <v>344</v>
      </c>
      <c r="L157" s="77">
        <f t="shared" si="7"/>
        <v>688</v>
      </c>
      <c r="M157" s="67">
        <v>312.74</v>
      </c>
      <c r="N157" s="122">
        <f t="shared" si="8"/>
        <v>9.9955234379996094E-2</v>
      </c>
      <c r="Q157" s="123" t="s">
        <v>577</v>
      </c>
      <c r="R157" s="107"/>
      <c r="S157" s="67">
        <v>870824</v>
      </c>
    </row>
    <row r="158" spans="1:19" ht="33.75" customHeight="1">
      <c r="A158" s="140" t="s">
        <v>257</v>
      </c>
      <c r="B158" s="140"/>
      <c r="C158" s="140"/>
      <c r="D158" s="140"/>
      <c r="E158" s="140"/>
      <c r="F158" s="140"/>
      <c r="G158" s="140"/>
      <c r="H158" s="140"/>
      <c r="I158" s="140"/>
      <c r="J158" s="85" t="s">
        <v>11</v>
      </c>
      <c r="K158" s="86" t="s">
        <v>456</v>
      </c>
      <c r="L158" s="86">
        <f>SUM(L11:L157)</f>
        <v>29927888</v>
      </c>
      <c r="N158" s="122"/>
    </row>
    <row r="159" spans="1:19" ht="15.75">
      <c r="A159" s="68"/>
      <c r="B159" s="68"/>
      <c r="C159" s="68"/>
      <c r="D159" s="68"/>
      <c r="E159" s="69"/>
      <c r="F159" s="68"/>
      <c r="G159" s="69"/>
      <c r="H159" s="69"/>
      <c r="I159" s="69"/>
      <c r="J159" s="87"/>
      <c r="K159" s="86" t="s">
        <v>457</v>
      </c>
      <c r="L159" s="86">
        <f>L160-L158</f>
        <v>6584135.3599999994</v>
      </c>
      <c r="N159" s="122"/>
      <c r="O159" s="67" t="s">
        <v>469</v>
      </c>
      <c r="P159" s="67" t="s">
        <v>470</v>
      </c>
    </row>
    <row r="160" spans="1:19" ht="15.75">
      <c r="A160" s="68"/>
      <c r="B160" s="68"/>
      <c r="C160" s="68"/>
      <c r="D160" s="68"/>
      <c r="E160" s="69"/>
      <c r="F160" s="68"/>
      <c r="G160" s="69"/>
      <c r="H160" s="69"/>
      <c r="I160" s="69"/>
      <c r="J160" s="87"/>
      <c r="K160" s="86" t="s">
        <v>458</v>
      </c>
      <c r="L160" s="86">
        <f>L158*1.22</f>
        <v>36512023.359999999</v>
      </c>
      <c r="N160" s="122"/>
      <c r="O160" s="107">
        <f>433737801.36</f>
        <v>433737801.36000001</v>
      </c>
      <c r="P160" s="107">
        <f>O160+L160</f>
        <v>470249824.72000003</v>
      </c>
    </row>
    <row r="161" spans="1:18" ht="15.75">
      <c r="A161" s="68"/>
      <c r="B161" s="68"/>
      <c r="C161" s="68"/>
      <c r="D161" s="68"/>
      <c r="E161" s="69"/>
      <c r="F161" s="68"/>
      <c r="G161" s="69"/>
      <c r="H161" s="69"/>
      <c r="I161" s="69"/>
      <c r="J161" s="87"/>
      <c r="K161" s="88"/>
      <c r="L161" s="88"/>
    </row>
    <row r="162" spans="1:18" s="83" customFormat="1" ht="15">
      <c r="A162" s="108"/>
      <c r="B162" s="89" t="s">
        <v>472</v>
      </c>
      <c r="C162" s="108"/>
      <c r="D162" s="108"/>
      <c r="E162" s="108"/>
      <c r="F162" s="108"/>
      <c r="G162" s="108"/>
      <c r="H162" s="109"/>
      <c r="I162" s="109"/>
      <c r="J162" s="109"/>
      <c r="K162" s="109"/>
      <c r="M162" s="110"/>
      <c r="R162" s="124"/>
    </row>
    <row r="163" spans="1:18" s="83" customFormat="1" ht="15">
      <c r="A163" s="108"/>
      <c r="B163" s="108"/>
      <c r="C163" s="108"/>
      <c r="D163" s="108"/>
      <c r="E163" s="108"/>
      <c r="F163" s="108"/>
      <c r="G163" s="108"/>
      <c r="H163" s="109"/>
      <c r="I163" s="109"/>
      <c r="J163" s="109"/>
      <c r="K163" s="109"/>
      <c r="M163" s="110"/>
      <c r="R163" s="124"/>
    </row>
    <row r="164" spans="1:18" s="83" customFormat="1" ht="16.5" customHeight="1">
      <c r="A164" s="89"/>
      <c r="B164" s="89" t="s">
        <v>475</v>
      </c>
      <c r="C164" s="111"/>
      <c r="D164" s="111"/>
      <c r="E164" s="111"/>
      <c r="F164" s="89"/>
      <c r="G164" s="89"/>
      <c r="H164" s="89"/>
      <c r="I164" s="89"/>
      <c r="J164" s="89"/>
      <c r="K164" s="89"/>
      <c r="M164" s="112"/>
      <c r="R164" s="124"/>
    </row>
    <row r="165" spans="1:18" s="83" customFormat="1" ht="39" customHeight="1">
      <c r="A165" s="89"/>
      <c r="B165" s="132" t="s">
        <v>476</v>
      </c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13"/>
      <c r="R165" s="124"/>
    </row>
    <row r="166" spans="1:18" s="83" customFormat="1" ht="56.25" customHeight="1">
      <c r="A166" s="89"/>
      <c r="B166" s="132" t="s">
        <v>477</v>
      </c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R166" s="124"/>
    </row>
    <row r="167" spans="1:18" s="83" customFormat="1" ht="36" customHeight="1">
      <c r="A167" s="89"/>
      <c r="B167" s="132" t="s">
        <v>478</v>
      </c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R167" s="124"/>
    </row>
    <row r="168" spans="1:18" s="83" customFormat="1" ht="36" customHeight="1">
      <c r="A168" s="89"/>
      <c r="B168" s="132" t="s">
        <v>479</v>
      </c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R168" s="124"/>
    </row>
    <row r="169" spans="1:18" s="84" customFormat="1" ht="15">
      <c r="A169" s="89"/>
      <c r="B169" s="90"/>
      <c r="C169" s="91"/>
      <c r="D169" s="91"/>
      <c r="E169" s="91"/>
      <c r="F169" s="92"/>
      <c r="G169" s="92"/>
      <c r="H169" s="92"/>
      <c r="I169" s="92"/>
      <c r="J169" s="93"/>
      <c r="K169" s="92"/>
      <c r="R169" s="97"/>
    </row>
    <row r="170" spans="1:18" s="84" customFormat="1" ht="15">
      <c r="A170" s="89"/>
      <c r="B170" s="94"/>
      <c r="C170" s="92"/>
      <c r="D170" s="92"/>
      <c r="E170" s="92"/>
      <c r="F170" s="92"/>
      <c r="G170" s="92"/>
      <c r="H170" s="92"/>
      <c r="I170" s="92"/>
      <c r="J170" s="92"/>
      <c r="K170" s="92"/>
      <c r="R170" s="97"/>
    </row>
    <row r="171" spans="1:18" s="84" customFormat="1" ht="15">
      <c r="A171" s="89"/>
      <c r="B171" s="95" t="s">
        <v>258</v>
      </c>
      <c r="C171" s="92"/>
      <c r="D171" s="92"/>
      <c r="E171" s="92"/>
      <c r="F171" s="92"/>
      <c r="G171" s="92"/>
      <c r="H171" s="92"/>
      <c r="I171" s="92"/>
      <c r="J171" s="95" t="s">
        <v>259</v>
      </c>
      <c r="K171" s="92"/>
      <c r="R171" s="97"/>
    </row>
    <row r="172" spans="1:18" s="84" customFormat="1" ht="15">
      <c r="A172" s="83"/>
      <c r="B172" s="96" t="s">
        <v>260</v>
      </c>
      <c r="C172" s="83"/>
      <c r="D172" s="83"/>
      <c r="E172" s="83"/>
      <c r="F172" s="83"/>
      <c r="G172" s="97"/>
      <c r="H172" s="96"/>
      <c r="I172" s="97"/>
      <c r="J172" s="98" t="s">
        <v>459</v>
      </c>
      <c r="K172" s="99"/>
      <c r="R172" s="97"/>
    </row>
    <row r="173" spans="1:18" s="84" customFormat="1" ht="15">
      <c r="A173" s="83"/>
      <c r="B173" s="100" t="s">
        <v>261</v>
      </c>
      <c r="C173" s="83"/>
      <c r="D173" s="83"/>
      <c r="E173" s="83"/>
      <c r="F173" s="83"/>
      <c r="G173" s="97"/>
      <c r="H173" s="96"/>
      <c r="I173" s="97"/>
      <c r="J173" s="101"/>
      <c r="K173" s="102"/>
      <c r="R173" s="97"/>
    </row>
    <row r="174" spans="1:18" s="84" customFormat="1" ht="15.75" customHeight="1">
      <c r="B174" s="103"/>
      <c r="G174" s="97"/>
      <c r="H174" s="100"/>
      <c r="I174" s="101"/>
      <c r="J174" s="101"/>
      <c r="K174" s="97"/>
      <c r="R174" s="97"/>
    </row>
    <row r="175" spans="1:18" s="84" customFormat="1" ht="42.75" customHeight="1">
      <c r="B175" s="104" t="s">
        <v>262</v>
      </c>
      <c r="G175" s="97"/>
      <c r="H175" s="103"/>
      <c r="I175" s="87"/>
      <c r="J175" s="104" t="s">
        <v>460</v>
      </c>
      <c r="K175" s="97"/>
      <c r="R175" s="97"/>
    </row>
    <row r="178" spans="9:11">
      <c r="I178" s="70"/>
    </row>
    <row r="184" spans="9:11">
      <c r="K184" s="107"/>
    </row>
    <row r="204" spans="7:7">
      <c r="G204" s="66" t="s">
        <v>480</v>
      </c>
    </row>
  </sheetData>
  <autoFilter ref="A10:S160" xr:uid="{00000000-0009-0000-0000-000000000000}"/>
  <mergeCells count="19">
    <mergeCell ref="J5:L5"/>
    <mergeCell ref="B168:L168"/>
    <mergeCell ref="B166:L166"/>
    <mergeCell ref="A7:L7"/>
    <mergeCell ref="A158:I158"/>
    <mergeCell ref="A8:A9"/>
    <mergeCell ref="B8:B9"/>
    <mergeCell ref="C8:C9"/>
    <mergeCell ref="D8:D9"/>
    <mergeCell ref="E8:E9"/>
    <mergeCell ref="B167:L167"/>
    <mergeCell ref="L8:L9"/>
    <mergeCell ref="B165:L165"/>
    <mergeCell ref="F8:F9"/>
    <mergeCell ref="G8:G9"/>
    <mergeCell ref="H8:H9"/>
    <mergeCell ref="I8:I9"/>
    <mergeCell ref="J8:J9"/>
    <mergeCell ref="K8:K9"/>
  </mergeCells>
  <phoneticPr fontId="25" type="noConversion"/>
  <conditionalFormatting sqref="D176:E65536 C8:E9 D158:E161 D1:E6">
    <cfRule type="expression" dxfId="2" priority="9" stopIfTrue="1">
      <formula>AND(COUNTIF($D$172:$D$65536,C1)+COUNTIF($D$7:$D$163,C1)&gt;1,NOT(ISBLANK(C1)))</formula>
    </cfRule>
  </conditionalFormatting>
  <conditionalFormatting sqref="D10:E10 G10 J10">
    <cfRule type="expression" dxfId="1" priority="3" stopIfTrue="1">
      <formula>AND(COUNTIF($D$152:$D$65536,D10)+COUNTIF($D$11:$D$145,D10)&gt;1,NOT(ISBLANK(D10)))</formula>
    </cfRule>
  </conditionalFormatting>
  <conditionalFormatting sqref="C175:E175 C169:E169 C162:E164">
    <cfRule type="expression" dxfId="0" priority="2" stopIfTrue="1">
      <formula>AND(COUNTIF($C$157:$C$65536, C162)+COUNTIF($C$11:$C$149, C162)&gt;1,NOT(ISBLANK(C162)))</formula>
    </cfRule>
  </conditionalFormatting>
  <pageMargins left="0.39370078740157483" right="3.937007874015748E-2" top="0.55118110236220474" bottom="0.55118110236220474" header="0.31496062992125984" footer="0.31496062992125984"/>
  <pageSetup paperSize="9" scale="75" fitToHeight="0" orientation="landscape" horizontalDpi="300" verticalDpi="300" r:id="rId1"/>
  <headerFooter>
    <oddFooter>&amp;CСтраница 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33"/>
  <sheetViews>
    <sheetView zoomScale="55" workbookViewId="0">
      <selection sqref="A1:IV65536"/>
    </sheetView>
  </sheetViews>
  <sheetFormatPr defaultRowHeight="23.25" customHeight="1"/>
  <cols>
    <col min="1" max="1" width="4.42578125" style="3" customWidth="1"/>
    <col min="2" max="2" width="43.42578125" style="3" customWidth="1"/>
    <col min="3" max="3" width="28" style="3" customWidth="1"/>
    <col min="4" max="4" width="12" style="4" customWidth="1"/>
    <col min="5" max="5" width="10.42578125" style="4" customWidth="1"/>
    <col min="6" max="6" width="14.85546875" style="5" customWidth="1"/>
    <col min="7" max="7" width="21.85546875" style="6" customWidth="1"/>
    <col min="8" max="8" width="16.140625" style="7" customWidth="1"/>
    <col min="9" max="9" width="14.85546875" style="7" bestFit="1" customWidth="1"/>
    <col min="10" max="10" width="10.42578125" style="7" bestFit="1" customWidth="1"/>
    <col min="11" max="11" width="10.42578125" style="7" customWidth="1"/>
    <col min="12" max="12" width="10.140625" style="7" bestFit="1" customWidth="1"/>
    <col min="13" max="13" width="10.85546875" style="3" customWidth="1"/>
    <col min="14" max="14" width="10.140625" style="3" bestFit="1" customWidth="1"/>
    <col min="15" max="15" width="9.140625" style="3"/>
    <col min="16" max="16" width="36.42578125" style="3" customWidth="1"/>
    <col min="17" max="17" width="28.140625" style="3" customWidth="1"/>
    <col min="18" max="16384" width="9.140625" style="3"/>
  </cols>
  <sheetData>
    <row r="1" spans="1:14" ht="23.25" customHeight="1">
      <c r="A1" s="8"/>
      <c r="B1" s="9"/>
      <c r="C1" s="9"/>
      <c r="D1" s="10"/>
      <c r="E1" s="10"/>
      <c r="F1" s="11"/>
      <c r="G1" s="12"/>
    </row>
    <row r="2" spans="1:14" ht="41.25" customHeight="1">
      <c r="A2" s="148" t="s">
        <v>263</v>
      </c>
      <c r="B2" s="148"/>
      <c r="C2" s="148"/>
      <c r="D2" s="148"/>
      <c r="E2" s="148"/>
      <c r="F2" s="148"/>
      <c r="G2" s="148"/>
    </row>
    <row r="3" spans="1:14" ht="23.25" customHeight="1">
      <c r="A3" s="149" t="s">
        <v>264</v>
      </c>
      <c r="B3" s="150"/>
      <c r="C3" s="150"/>
      <c r="D3" s="150"/>
      <c r="E3" s="150"/>
      <c r="F3" s="150"/>
      <c r="G3" s="151"/>
    </row>
    <row r="4" spans="1:14" ht="23.25" customHeight="1">
      <c r="A4" s="153" t="s">
        <v>0</v>
      </c>
      <c r="B4" s="153" t="s">
        <v>1</v>
      </c>
      <c r="C4" s="153" t="s">
        <v>265</v>
      </c>
      <c r="D4" s="142" t="s">
        <v>4</v>
      </c>
      <c r="E4" s="142" t="s">
        <v>5</v>
      </c>
      <c r="F4" s="144" t="s">
        <v>266</v>
      </c>
      <c r="G4" s="144" t="s">
        <v>267</v>
      </c>
    </row>
    <row r="5" spans="1:14" ht="23.25" customHeight="1">
      <c r="A5" s="154"/>
      <c r="B5" s="154"/>
      <c r="C5" s="154"/>
      <c r="D5" s="143"/>
      <c r="E5" s="143"/>
      <c r="F5" s="145"/>
      <c r="G5" s="145"/>
    </row>
    <row r="6" spans="1:14" s="1" customFormat="1" ht="23.25" customHeight="1">
      <c r="A6" s="13">
        <v>1</v>
      </c>
      <c r="B6" s="13">
        <v>2</v>
      </c>
      <c r="C6" s="13">
        <v>3</v>
      </c>
      <c r="D6" s="13">
        <v>7</v>
      </c>
      <c r="E6" s="14">
        <v>8</v>
      </c>
      <c r="F6" s="13">
        <v>10</v>
      </c>
      <c r="G6" s="14">
        <v>12</v>
      </c>
      <c r="H6" s="4"/>
      <c r="I6" s="4"/>
      <c r="J6" s="4"/>
      <c r="K6" s="4"/>
      <c r="L6" s="4"/>
    </row>
    <row r="7" spans="1:14" ht="23.25" customHeight="1">
      <c r="A7" s="15">
        <v>1</v>
      </c>
      <c r="B7" s="15" t="s">
        <v>268</v>
      </c>
      <c r="C7" s="15" t="s">
        <v>269</v>
      </c>
      <c r="D7" s="16" t="s">
        <v>10</v>
      </c>
      <c r="E7" s="17">
        <v>1</v>
      </c>
      <c r="F7" s="18">
        <v>92782.62</v>
      </c>
      <c r="G7" s="19">
        <f t="shared" ref="G7:G38" si="0">F7*E7</f>
        <v>92782.62</v>
      </c>
      <c r="J7" s="20"/>
      <c r="K7" s="20"/>
      <c r="L7" s="21"/>
      <c r="M7" s="22"/>
      <c r="N7" s="22"/>
    </row>
    <row r="8" spans="1:14" ht="23.25" customHeight="1">
      <c r="A8" s="15">
        <v>2</v>
      </c>
      <c r="B8" s="15" t="s">
        <v>270</v>
      </c>
      <c r="C8" s="15" t="s">
        <v>271</v>
      </c>
      <c r="D8" s="16" t="s">
        <v>10</v>
      </c>
      <c r="E8" s="17">
        <v>4</v>
      </c>
      <c r="F8" s="18">
        <v>55943.3</v>
      </c>
      <c r="G8" s="19">
        <f t="shared" si="0"/>
        <v>223773.2</v>
      </c>
      <c r="J8" s="20"/>
      <c r="K8" s="20"/>
      <c r="L8" s="21"/>
      <c r="M8" s="22"/>
      <c r="N8" s="22"/>
    </row>
    <row r="9" spans="1:14" ht="23.25" customHeight="1">
      <c r="A9" s="15">
        <v>3</v>
      </c>
      <c r="B9" s="15" t="s">
        <v>272</v>
      </c>
      <c r="C9" s="15" t="s">
        <v>273</v>
      </c>
      <c r="D9" s="16" t="s">
        <v>10</v>
      </c>
      <c r="E9" s="17">
        <v>1</v>
      </c>
      <c r="F9" s="18">
        <v>109995.76</v>
      </c>
      <c r="G9" s="19">
        <f t="shared" si="0"/>
        <v>109995.76</v>
      </c>
      <c r="J9" s="20"/>
      <c r="K9" s="20"/>
      <c r="L9" s="21"/>
      <c r="M9" s="22"/>
      <c r="N9" s="22"/>
    </row>
    <row r="10" spans="1:14" s="2" customFormat="1" ht="23.25" customHeight="1">
      <c r="A10" s="15">
        <v>4</v>
      </c>
      <c r="B10" s="15" t="s">
        <v>274</v>
      </c>
      <c r="C10" s="15" t="s">
        <v>275</v>
      </c>
      <c r="D10" s="16" t="s">
        <v>10</v>
      </c>
      <c r="E10" s="17">
        <v>1</v>
      </c>
      <c r="F10" s="18">
        <v>48273.82</v>
      </c>
      <c r="G10" s="19">
        <f t="shared" si="0"/>
        <v>48273.82</v>
      </c>
      <c r="J10" s="23"/>
      <c r="K10" s="23"/>
      <c r="L10" s="24"/>
      <c r="M10" s="24"/>
      <c r="N10" s="24"/>
    </row>
    <row r="11" spans="1:14" ht="23.25" customHeight="1">
      <c r="A11" s="15">
        <v>5</v>
      </c>
      <c r="B11" s="15" t="s">
        <v>57</v>
      </c>
      <c r="C11" s="25" t="s">
        <v>276</v>
      </c>
      <c r="D11" s="16" t="s">
        <v>10</v>
      </c>
      <c r="E11" s="17">
        <v>1</v>
      </c>
      <c r="F11" s="18">
        <v>360538.99</v>
      </c>
      <c r="G11" s="19">
        <f t="shared" si="0"/>
        <v>360538.99</v>
      </c>
      <c r="J11" s="20"/>
      <c r="K11" s="20"/>
      <c r="L11" s="21"/>
      <c r="M11" s="22"/>
      <c r="N11" s="22"/>
    </row>
    <row r="12" spans="1:14" ht="23.25" customHeight="1">
      <c r="A12" s="15">
        <v>6</v>
      </c>
      <c r="B12" s="15" t="s">
        <v>277</v>
      </c>
      <c r="C12" s="15" t="s">
        <v>278</v>
      </c>
      <c r="D12" s="16" t="s">
        <v>10</v>
      </c>
      <c r="E12" s="17">
        <v>2</v>
      </c>
      <c r="F12" s="18">
        <v>61341.280000000006</v>
      </c>
      <c r="G12" s="19">
        <f t="shared" si="0"/>
        <v>122682.56000000001</v>
      </c>
      <c r="J12" s="20"/>
      <c r="K12" s="20"/>
      <c r="L12" s="21"/>
      <c r="M12" s="22"/>
      <c r="N12" s="22"/>
    </row>
    <row r="13" spans="1:14" ht="23.25" customHeight="1">
      <c r="A13" s="15">
        <v>7</v>
      </c>
      <c r="B13" s="15" t="s">
        <v>117</v>
      </c>
      <c r="C13" s="15" t="s">
        <v>279</v>
      </c>
      <c r="D13" s="16" t="s">
        <v>10</v>
      </c>
      <c r="E13" s="17">
        <v>2</v>
      </c>
      <c r="F13" s="18">
        <v>32829.93</v>
      </c>
      <c r="G13" s="19">
        <f t="shared" si="0"/>
        <v>65659.86</v>
      </c>
      <c r="J13" s="20"/>
      <c r="K13" s="20"/>
      <c r="L13" s="21"/>
      <c r="M13" s="22"/>
      <c r="N13" s="22"/>
    </row>
    <row r="14" spans="1:14" ht="23.25" customHeight="1">
      <c r="A14" s="15">
        <v>8</v>
      </c>
      <c r="B14" s="15" t="s">
        <v>125</v>
      </c>
      <c r="C14" s="15" t="s">
        <v>280</v>
      </c>
      <c r="D14" s="16" t="s">
        <v>10</v>
      </c>
      <c r="E14" s="17">
        <v>2</v>
      </c>
      <c r="F14" s="18">
        <v>60221.14</v>
      </c>
      <c r="G14" s="19">
        <f t="shared" si="0"/>
        <v>120442.28</v>
      </c>
      <c r="J14" s="20"/>
      <c r="K14" s="20"/>
      <c r="L14" s="21"/>
      <c r="M14" s="22"/>
      <c r="N14" s="22"/>
    </row>
    <row r="15" spans="1:14" ht="23.25" customHeight="1">
      <c r="A15" s="15">
        <v>9</v>
      </c>
      <c r="B15" s="15" t="s">
        <v>281</v>
      </c>
      <c r="C15" s="15" t="s">
        <v>282</v>
      </c>
      <c r="D15" s="16" t="s">
        <v>10</v>
      </c>
      <c r="E15" s="17">
        <v>4</v>
      </c>
      <c r="F15" s="18">
        <v>13590.92</v>
      </c>
      <c r="G15" s="19">
        <f t="shared" si="0"/>
        <v>54363.68</v>
      </c>
      <c r="J15" s="20"/>
      <c r="K15" s="20"/>
      <c r="L15" s="21"/>
      <c r="M15" s="22"/>
      <c r="N15" s="22"/>
    </row>
    <row r="16" spans="1:14" ht="23.25" customHeight="1">
      <c r="A16" s="15">
        <v>10</v>
      </c>
      <c r="B16" s="15" t="s">
        <v>283</v>
      </c>
      <c r="C16" s="15" t="s">
        <v>284</v>
      </c>
      <c r="D16" s="16" t="s">
        <v>10</v>
      </c>
      <c r="E16" s="17">
        <v>4</v>
      </c>
      <c r="F16" s="18">
        <v>278.52999999999997</v>
      </c>
      <c r="G16" s="19">
        <f t="shared" si="0"/>
        <v>1114.1199999999999</v>
      </c>
      <c r="J16" s="20"/>
      <c r="K16" s="20"/>
      <c r="L16" s="21"/>
      <c r="M16" s="22"/>
      <c r="N16" s="22"/>
    </row>
    <row r="17" spans="1:14" ht="23.25" customHeight="1">
      <c r="A17" s="15">
        <v>11</v>
      </c>
      <c r="B17" s="15" t="s">
        <v>285</v>
      </c>
      <c r="C17" s="15" t="s">
        <v>286</v>
      </c>
      <c r="D17" s="16" t="s">
        <v>10</v>
      </c>
      <c r="E17" s="17">
        <v>2</v>
      </c>
      <c r="F17" s="18">
        <v>2043.44</v>
      </c>
      <c r="G17" s="19">
        <f t="shared" si="0"/>
        <v>4086.88</v>
      </c>
      <c r="J17" s="20"/>
      <c r="K17" s="20"/>
      <c r="L17" s="21"/>
      <c r="M17" s="22"/>
      <c r="N17" s="22"/>
    </row>
    <row r="18" spans="1:14" ht="23.25" customHeight="1">
      <c r="A18" s="15">
        <v>12</v>
      </c>
      <c r="B18" s="15" t="s">
        <v>287</v>
      </c>
      <c r="C18" s="15" t="s">
        <v>288</v>
      </c>
      <c r="D18" s="16" t="s">
        <v>10</v>
      </c>
      <c r="E18" s="17">
        <v>6</v>
      </c>
      <c r="F18" s="18">
        <v>63.209999999999994</v>
      </c>
      <c r="G18" s="19">
        <f t="shared" si="0"/>
        <v>379.26</v>
      </c>
      <c r="J18" s="20"/>
      <c r="K18" s="20"/>
      <c r="L18" s="21"/>
      <c r="M18" s="22"/>
      <c r="N18" s="22"/>
    </row>
    <row r="19" spans="1:14" ht="23.25" customHeight="1">
      <c r="A19" s="15">
        <v>13</v>
      </c>
      <c r="B19" s="15" t="s">
        <v>289</v>
      </c>
      <c r="C19" s="15" t="s">
        <v>290</v>
      </c>
      <c r="D19" s="16" t="s">
        <v>10</v>
      </c>
      <c r="E19" s="17">
        <v>2</v>
      </c>
      <c r="F19" s="18">
        <v>102.13</v>
      </c>
      <c r="G19" s="19">
        <f t="shared" si="0"/>
        <v>204.26</v>
      </c>
      <c r="J19" s="20"/>
      <c r="K19" s="20"/>
      <c r="L19" s="21"/>
      <c r="M19" s="22"/>
      <c r="N19" s="22"/>
    </row>
    <row r="20" spans="1:14" ht="23.25" customHeight="1">
      <c r="A20" s="15">
        <v>14</v>
      </c>
      <c r="B20" s="15" t="s">
        <v>289</v>
      </c>
      <c r="C20" s="15" t="s">
        <v>291</v>
      </c>
      <c r="D20" s="16" t="s">
        <v>10</v>
      </c>
      <c r="E20" s="17">
        <v>2</v>
      </c>
      <c r="F20" s="18">
        <v>143.01</v>
      </c>
      <c r="G20" s="19">
        <f t="shared" si="0"/>
        <v>286.02</v>
      </c>
      <c r="J20" s="20"/>
      <c r="K20" s="20"/>
      <c r="L20" s="21"/>
      <c r="M20" s="22"/>
      <c r="N20" s="22"/>
    </row>
    <row r="21" spans="1:14" ht="23.25" customHeight="1">
      <c r="A21" s="15">
        <v>15</v>
      </c>
      <c r="B21" s="15" t="s">
        <v>292</v>
      </c>
      <c r="C21" s="15" t="s">
        <v>293</v>
      </c>
      <c r="D21" s="16" t="s">
        <v>10</v>
      </c>
      <c r="E21" s="17">
        <v>2</v>
      </c>
      <c r="F21" s="18">
        <v>40030.76</v>
      </c>
      <c r="G21" s="19">
        <f t="shared" si="0"/>
        <v>80061.52</v>
      </c>
      <c r="J21" s="20"/>
      <c r="K21" s="20"/>
      <c r="L21" s="21"/>
      <c r="M21" s="22"/>
      <c r="N21" s="22"/>
    </row>
    <row r="22" spans="1:14" ht="23.25" customHeight="1">
      <c r="A22" s="15">
        <v>16</v>
      </c>
      <c r="B22" s="15" t="s">
        <v>294</v>
      </c>
      <c r="C22" s="15" t="s">
        <v>295</v>
      </c>
      <c r="D22" s="16" t="s">
        <v>10</v>
      </c>
      <c r="E22" s="17">
        <v>2</v>
      </c>
      <c r="F22" s="18">
        <v>21452.2</v>
      </c>
      <c r="G22" s="19">
        <f t="shared" si="0"/>
        <v>42904.4</v>
      </c>
      <c r="J22" s="20"/>
      <c r="K22" s="20"/>
      <c r="L22" s="21"/>
      <c r="M22" s="22"/>
      <c r="N22" s="22"/>
    </row>
    <row r="23" spans="1:14" ht="23.25" customHeight="1">
      <c r="A23" s="15">
        <v>17</v>
      </c>
      <c r="B23" s="15" t="s">
        <v>296</v>
      </c>
      <c r="C23" s="15" t="s">
        <v>297</v>
      </c>
      <c r="D23" s="16" t="s">
        <v>10</v>
      </c>
      <c r="E23" s="17">
        <v>8</v>
      </c>
      <c r="F23" s="18">
        <v>25.27</v>
      </c>
      <c r="G23" s="19">
        <f t="shared" si="0"/>
        <v>202.16</v>
      </c>
      <c r="J23" s="20"/>
      <c r="K23" s="20"/>
      <c r="L23" s="21"/>
      <c r="M23" s="22"/>
      <c r="N23" s="22"/>
    </row>
    <row r="24" spans="1:14" ht="23.25" customHeight="1">
      <c r="A24" s="15">
        <v>18</v>
      </c>
      <c r="B24" s="15" t="s">
        <v>298</v>
      </c>
      <c r="C24" s="25" t="s">
        <v>299</v>
      </c>
      <c r="D24" s="16" t="s">
        <v>10</v>
      </c>
      <c r="E24" s="17">
        <v>2</v>
      </c>
      <c r="F24" s="18">
        <v>153126.47</v>
      </c>
      <c r="G24" s="19">
        <f t="shared" si="0"/>
        <v>306252.94</v>
      </c>
      <c r="J24" s="20"/>
      <c r="K24" s="20"/>
      <c r="L24" s="21"/>
      <c r="M24" s="22"/>
      <c r="N24" s="22"/>
    </row>
    <row r="25" spans="1:14" ht="23.25" customHeight="1">
      <c r="A25" s="15">
        <v>19</v>
      </c>
      <c r="B25" s="15" t="s">
        <v>300</v>
      </c>
      <c r="C25" s="25" t="s">
        <v>301</v>
      </c>
      <c r="D25" s="16" t="s">
        <v>10</v>
      </c>
      <c r="E25" s="17">
        <v>1</v>
      </c>
      <c r="F25" s="18">
        <v>1275.05</v>
      </c>
      <c r="G25" s="19">
        <f t="shared" si="0"/>
        <v>1275.05</v>
      </c>
      <c r="J25" s="20"/>
      <c r="K25" s="20"/>
      <c r="L25" s="21"/>
      <c r="M25" s="22"/>
      <c r="N25" s="22"/>
    </row>
    <row r="26" spans="1:14" ht="23.25" customHeight="1">
      <c r="A26" s="15">
        <v>20</v>
      </c>
      <c r="B26" s="15" t="s">
        <v>302</v>
      </c>
      <c r="C26" s="25" t="s">
        <v>303</v>
      </c>
      <c r="D26" s="16" t="s">
        <v>10</v>
      </c>
      <c r="E26" s="17">
        <v>1</v>
      </c>
      <c r="F26" s="18">
        <v>369921.86000000004</v>
      </c>
      <c r="G26" s="19">
        <f t="shared" si="0"/>
        <v>369921.86000000004</v>
      </c>
      <c r="J26" s="20"/>
      <c r="K26" s="20"/>
      <c r="L26" s="21"/>
      <c r="M26" s="22"/>
      <c r="N26" s="22"/>
    </row>
    <row r="27" spans="1:14" ht="23.25" customHeight="1">
      <c r="A27" s="15">
        <v>21</v>
      </c>
      <c r="B27" s="15" t="s">
        <v>304</v>
      </c>
      <c r="C27" s="25" t="s">
        <v>305</v>
      </c>
      <c r="D27" s="16" t="s">
        <v>10</v>
      </c>
      <c r="E27" s="17">
        <v>1</v>
      </c>
      <c r="F27" s="18">
        <v>56714.84</v>
      </c>
      <c r="G27" s="19">
        <f t="shared" si="0"/>
        <v>56714.84</v>
      </c>
      <c r="J27" s="20"/>
      <c r="K27" s="20"/>
      <c r="L27" s="21"/>
      <c r="M27" s="22"/>
      <c r="N27" s="22"/>
    </row>
    <row r="28" spans="1:14" ht="23.25" customHeight="1">
      <c r="A28" s="15">
        <v>22</v>
      </c>
      <c r="B28" s="15" t="s">
        <v>306</v>
      </c>
      <c r="C28" s="15" t="s">
        <v>307</v>
      </c>
      <c r="D28" s="16" t="s">
        <v>10</v>
      </c>
      <c r="E28" s="17">
        <v>1</v>
      </c>
      <c r="F28" s="18">
        <v>60481.68</v>
      </c>
      <c r="G28" s="19">
        <f t="shared" si="0"/>
        <v>60481.68</v>
      </c>
      <c r="J28" s="20"/>
      <c r="K28" s="20"/>
      <c r="L28" s="21"/>
      <c r="M28" s="22"/>
      <c r="N28" s="22"/>
    </row>
    <row r="29" spans="1:14" ht="23.25" customHeight="1">
      <c r="A29" s="15">
        <v>23</v>
      </c>
      <c r="B29" s="15" t="s">
        <v>75</v>
      </c>
      <c r="C29" s="15" t="s">
        <v>308</v>
      </c>
      <c r="D29" s="16" t="s">
        <v>10</v>
      </c>
      <c r="E29" s="17">
        <v>1</v>
      </c>
      <c r="F29" s="18">
        <v>622645.87</v>
      </c>
      <c r="G29" s="19">
        <f t="shared" si="0"/>
        <v>622645.87</v>
      </c>
      <c r="J29" s="20"/>
      <c r="K29" s="20"/>
      <c r="L29" s="21"/>
      <c r="M29" s="22"/>
      <c r="N29" s="22"/>
    </row>
    <row r="30" spans="1:14" ht="23.25" customHeight="1">
      <c r="A30" s="15">
        <v>24</v>
      </c>
      <c r="B30" s="15" t="s">
        <v>309</v>
      </c>
      <c r="C30" s="15" t="s">
        <v>310</v>
      </c>
      <c r="D30" s="16" t="s">
        <v>10</v>
      </c>
      <c r="E30" s="17">
        <v>1</v>
      </c>
      <c r="F30" s="18">
        <v>35889.980000000003</v>
      </c>
      <c r="G30" s="19">
        <f t="shared" si="0"/>
        <v>35889.980000000003</v>
      </c>
      <c r="J30" s="20"/>
      <c r="K30" s="20"/>
      <c r="L30" s="21"/>
      <c r="M30" s="22"/>
      <c r="N30" s="22"/>
    </row>
    <row r="31" spans="1:14" ht="23.25" customHeight="1">
      <c r="A31" s="15">
        <v>25</v>
      </c>
      <c r="B31" s="15" t="s">
        <v>55</v>
      </c>
      <c r="C31" s="15" t="s">
        <v>311</v>
      </c>
      <c r="D31" s="16" t="s">
        <v>10</v>
      </c>
      <c r="E31" s="17">
        <v>2</v>
      </c>
      <c r="F31" s="18">
        <v>33697.79</v>
      </c>
      <c r="G31" s="19">
        <f t="shared" si="0"/>
        <v>67395.58</v>
      </c>
      <c r="J31" s="20"/>
      <c r="K31" s="20"/>
      <c r="L31" s="21"/>
      <c r="M31" s="22"/>
      <c r="N31" s="22"/>
    </row>
    <row r="32" spans="1:14" ht="23.25" customHeight="1">
      <c r="A32" s="15">
        <v>26</v>
      </c>
      <c r="B32" s="15" t="s">
        <v>312</v>
      </c>
      <c r="C32" s="15" t="s">
        <v>313</v>
      </c>
      <c r="D32" s="16" t="s">
        <v>10</v>
      </c>
      <c r="E32" s="17">
        <v>1</v>
      </c>
      <c r="F32" s="18">
        <v>4610.7599999999993</v>
      </c>
      <c r="G32" s="19">
        <f t="shared" si="0"/>
        <v>4610.7599999999993</v>
      </c>
      <c r="J32" s="20"/>
      <c r="K32" s="20"/>
      <c r="L32" s="21"/>
      <c r="M32" s="22"/>
      <c r="N32" s="22"/>
    </row>
    <row r="33" spans="1:14" ht="23.25" customHeight="1">
      <c r="A33" s="15">
        <v>27</v>
      </c>
      <c r="B33" s="15" t="s">
        <v>314</v>
      </c>
      <c r="C33" s="15" t="s">
        <v>315</v>
      </c>
      <c r="D33" s="16" t="s">
        <v>10</v>
      </c>
      <c r="E33" s="17">
        <v>1</v>
      </c>
      <c r="F33" s="18">
        <v>16498.649999999998</v>
      </c>
      <c r="G33" s="19">
        <f t="shared" si="0"/>
        <v>16498.649999999998</v>
      </c>
      <c r="J33" s="20"/>
      <c r="K33" s="20"/>
      <c r="L33" s="21"/>
      <c r="M33" s="22"/>
      <c r="N33" s="22"/>
    </row>
    <row r="34" spans="1:14" s="2" customFormat="1" ht="23.25" customHeight="1">
      <c r="A34" s="15">
        <v>28</v>
      </c>
      <c r="B34" s="15" t="s">
        <v>316</v>
      </c>
      <c r="C34" s="15" t="s">
        <v>317</v>
      </c>
      <c r="D34" s="16" t="s">
        <v>10</v>
      </c>
      <c r="E34" s="17">
        <v>1</v>
      </c>
      <c r="F34" s="18">
        <v>219773.54</v>
      </c>
      <c r="G34" s="19">
        <f t="shared" si="0"/>
        <v>219773.54</v>
      </c>
      <c r="J34" s="23"/>
      <c r="K34" s="23"/>
      <c r="L34" s="24"/>
      <c r="M34" s="24"/>
      <c r="N34" s="24"/>
    </row>
    <row r="35" spans="1:14" ht="23.25" customHeight="1">
      <c r="A35" s="15">
        <v>29</v>
      </c>
      <c r="B35" s="15" t="s">
        <v>109</v>
      </c>
      <c r="C35" s="15" t="s">
        <v>318</v>
      </c>
      <c r="D35" s="16" t="s">
        <v>10</v>
      </c>
      <c r="E35" s="17">
        <v>1</v>
      </c>
      <c r="F35" s="18">
        <v>12444.18</v>
      </c>
      <c r="G35" s="19">
        <f t="shared" si="0"/>
        <v>12444.18</v>
      </c>
      <c r="J35" s="20"/>
      <c r="K35" s="20"/>
      <c r="L35" s="21"/>
      <c r="M35" s="22"/>
      <c r="N35" s="22"/>
    </row>
    <row r="36" spans="1:14" ht="23.25" customHeight="1">
      <c r="A36" s="15">
        <v>30</v>
      </c>
      <c r="B36" s="15" t="s">
        <v>319</v>
      </c>
      <c r="C36" s="15" t="s">
        <v>320</v>
      </c>
      <c r="D36" s="16" t="s">
        <v>10</v>
      </c>
      <c r="E36" s="17">
        <v>2</v>
      </c>
      <c r="F36" s="18">
        <v>7069.02</v>
      </c>
      <c r="G36" s="19">
        <f t="shared" si="0"/>
        <v>14138.04</v>
      </c>
      <c r="J36" s="20"/>
      <c r="K36" s="20"/>
      <c r="L36" s="21"/>
      <c r="M36" s="22"/>
      <c r="N36" s="22"/>
    </row>
    <row r="37" spans="1:14" ht="23.25" customHeight="1">
      <c r="A37" s="15">
        <v>31</v>
      </c>
      <c r="B37" s="15" t="s">
        <v>321</v>
      </c>
      <c r="C37" s="15" t="s">
        <v>322</v>
      </c>
      <c r="D37" s="16" t="s">
        <v>10</v>
      </c>
      <c r="E37" s="17">
        <v>1</v>
      </c>
      <c r="F37" s="18">
        <v>24863.51</v>
      </c>
      <c r="G37" s="19">
        <f t="shared" si="0"/>
        <v>24863.51</v>
      </c>
      <c r="J37" s="20"/>
      <c r="K37" s="20"/>
      <c r="L37" s="21"/>
      <c r="M37" s="22"/>
      <c r="N37" s="22"/>
    </row>
    <row r="38" spans="1:14" ht="23.25" customHeight="1">
      <c r="A38" s="15">
        <v>32</v>
      </c>
      <c r="B38" s="15" t="s">
        <v>115</v>
      </c>
      <c r="C38" s="15" t="s">
        <v>323</v>
      </c>
      <c r="D38" s="16" t="s">
        <v>10</v>
      </c>
      <c r="E38" s="17">
        <v>1</v>
      </c>
      <c r="F38" s="18">
        <v>81717.510000000009</v>
      </c>
      <c r="G38" s="19">
        <f t="shared" si="0"/>
        <v>81717.510000000009</v>
      </c>
      <c r="J38" s="20"/>
      <c r="K38" s="20"/>
      <c r="L38" s="21"/>
      <c r="M38" s="22"/>
      <c r="N38" s="22"/>
    </row>
    <row r="39" spans="1:14" ht="23.25" customHeight="1">
      <c r="A39" s="15">
        <v>33</v>
      </c>
      <c r="B39" s="15" t="s">
        <v>324</v>
      </c>
      <c r="C39" s="15" t="s">
        <v>325</v>
      </c>
      <c r="D39" s="16" t="s">
        <v>10</v>
      </c>
      <c r="E39" s="17">
        <v>8</v>
      </c>
      <c r="F39" s="18">
        <v>12038.88</v>
      </c>
      <c r="G39" s="19">
        <f t="shared" ref="G39:G70" si="1">F39*E39</f>
        <v>96311.039999999994</v>
      </c>
      <c r="J39" s="20"/>
      <c r="K39" s="20"/>
      <c r="L39" s="21"/>
      <c r="M39" s="22"/>
      <c r="N39" s="22"/>
    </row>
    <row r="40" spans="1:14" ht="23.25" customHeight="1">
      <c r="A40" s="15">
        <v>34</v>
      </c>
      <c r="B40" s="15" t="s">
        <v>326</v>
      </c>
      <c r="C40" s="15" t="s">
        <v>327</v>
      </c>
      <c r="D40" s="16" t="s">
        <v>10</v>
      </c>
      <c r="E40" s="17">
        <v>2</v>
      </c>
      <c r="F40" s="18">
        <v>53884.11</v>
      </c>
      <c r="G40" s="19">
        <f t="shared" si="1"/>
        <v>107768.22</v>
      </c>
      <c r="J40" s="20"/>
      <c r="K40" s="20"/>
      <c r="L40" s="21"/>
      <c r="M40" s="22"/>
      <c r="N40" s="22"/>
    </row>
    <row r="41" spans="1:14" ht="23.25" customHeight="1">
      <c r="A41" s="15">
        <v>35</v>
      </c>
      <c r="B41" s="15" t="s">
        <v>326</v>
      </c>
      <c r="C41" s="15" t="s">
        <v>328</v>
      </c>
      <c r="D41" s="16" t="s">
        <v>10</v>
      </c>
      <c r="E41" s="17">
        <v>2</v>
      </c>
      <c r="F41" s="18">
        <v>37555.630000000005</v>
      </c>
      <c r="G41" s="19">
        <f t="shared" si="1"/>
        <v>75111.260000000009</v>
      </c>
      <c r="J41" s="20"/>
      <c r="K41" s="20"/>
      <c r="L41" s="21"/>
      <c r="M41" s="22"/>
      <c r="N41" s="22"/>
    </row>
    <row r="42" spans="1:14" ht="23.25" customHeight="1">
      <c r="A42" s="15">
        <v>36</v>
      </c>
      <c r="B42" s="15" t="s">
        <v>329</v>
      </c>
      <c r="C42" s="15" t="s">
        <v>330</v>
      </c>
      <c r="D42" s="16" t="s">
        <v>10</v>
      </c>
      <c r="E42" s="17">
        <v>1</v>
      </c>
      <c r="F42" s="18">
        <v>193876.48000000001</v>
      </c>
      <c r="G42" s="19">
        <f t="shared" si="1"/>
        <v>193876.48000000001</v>
      </c>
      <c r="J42" s="20"/>
      <c r="K42" s="20"/>
      <c r="L42" s="21"/>
      <c r="M42" s="22"/>
      <c r="N42" s="22"/>
    </row>
    <row r="43" spans="1:14" ht="23.25" customHeight="1">
      <c r="A43" s="15">
        <v>37</v>
      </c>
      <c r="B43" s="15" t="s">
        <v>331</v>
      </c>
      <c r="C43" s="15" t="s">
        <v>332</v>
      </c>
      <c r="D43" s="16" t="s">
        <v>10</v>
      </c>
      <c r="E43" s="17">
        <v>1</v>
      </c>
      <c r="F43" s="18">
        <v>33464.97</v>
      </c>
      <c r="G43" s="19">
        <f t="shared" si="1"/>
        <v>33464.97</v>
      </c>
      <c r="J43" s="20"/>
      <c r="K43" s="20"/>
      <c r="L43" s="21"/>
      <c r="M43" s="22"/>
      <c r="N43" s="22"/>
    </row>
    <row r="44" spans="1:14" ht="23.25" customHeight="1">
      <c r="A44" s="15">
        <v>38</v>
      </c>
      <c r="B44" s="15" t="s">
        <v>333</v>
      </c>
      <c r="C44" s="15" t="s">
        <v>334</v>
      </c>
      <c r="D44" s="16" t="s">
        <v>10</v>
      </c>
      <c r="E44" s="17">
        <v>2</v>
      </c>
      <c r="F44" s="18">
        <v>4921.1399999999994</v>
      </c>
      <c r="G44" s="19">
        <f t="shared" si="1"/>
        <v>9842.2799999999988</v>
      </c>
      <c r="J44" s="20"/>
      <c r="K44" s="20"/>
      <c r="L44" s="21"/>
      <c r="M44" s="22"/>
      <c r="N44" s="22"/>
    </row>
    <row r="45" spans="1:14" ht="23.25" customHeight="1">
      <c r="A45" s="15">
        <v>39</v>
      </c>
      <c r="B45" s="15" t="s">
        <v>335</v>
      </c>
      <c r="C45" s="15" t="s">
        <v>336</v>
      </c>
      <c r="D45" s="16" t="s">
        <v>10</v>
      </c>
      <c r="E45" s="17">
        <v>2</v>
      </c>
      <c r="F45" s="18">
        <v>628.67000000000007</v>
      </c>
      <c r="G45" s="19">
        <f t="shared" si="1"/>
        <v>1257.3400000000001</v>
      </c>
      <c r="J45" s="20"/>
      <c r="K45" s="20"/>
      <c r="L45" s="21"/>
      <c r="M45" s="22"/>
      <c r="N45" s="22"/>
    </row>
    <row r="46" spans="1:14" ht="23.25" customHeight="1">
      <c r="A46" s="15">
        <v>40</v>
      </c>
      <c r="B46" s="15" t="s">
        <v>309</v>
      </c>
      <c r="C46" s="15" t="s">
        <v>337</v>
      </c>
      <c r="D46" s="16" t="s">
        <v>10</v>
      </c>
      <c r="E46" s="17">
        <v>2</v>
      </c>
      <c r="F46" s="18">
        <v>2987.6</v>
      </c>
      <c r="G46" s="19">
        <f t="shared" si="1"/>
        <v>5975.2</v>
      </c>
      <c r="J46" s="20"/>
      <c r="K46" s="20"/>
      <c r="L46" s="21"/>
      <c r="M46" s="22"/>
      <c r="N46" s="22"/>
    </row>
    <row r="47" spans="1:14" ht="23.25" customHeight="1">
      <c r="A47" s="15">
        <v>41</v>
      </c>
      <c r="B47" s="15" t="s">
        <v>338</v>
      </c>
      <c r="C47" s="15" t="s">
        <v>339</v>
      </c>
      <c r="D47" s="16" t="s">
        <v>10</v>
      </c>
      <c r="E47" s="17">
        <v>1</v>
      </c>
      <c r="F47" s="18">
        <v>152141.35999999999</v>
      </c>
      <c r="G47" s="19">
        <f t="shared" si="1"/>
        <v>152141.35999999999</v>
      </c>
      <c r="J47" s="20"/>
      <c r="K47" s="20"/>
      <c r="L47" s="21"/>
      <c r="M47" s="22"/>
      <c r="N47" s="22"/>
    </row>
    <row r="48" spans="1:14" ht="23.25" customHeight="1">
      <c r="A48" s="15">
        <v>42</v>
      </c>
      <c r="B48" s="15" t="s">
        <v>340</v>
      </c>
      <c r="C48" s="15" t="s">
        <v>341</v>
      </c>
      <c r="D48" s="16" t="s">
        <v>10</v>
      </c>
      <c r="E48" s="17">
        <v>1</v>
      </c>
      <c r="F48" s="18">
        <v>22225.91</v>
      </c>
      <c r="G48" s="19">
        <f t="shared" si="1"/>
        <v>22225.91</v>
      </c>
      <c r="J48" s="20"/>
      <c r="K48" s="20"/>
      <c r="L48" s="21"/>
      <c r="M48" s="22"/>
      <c r="N48" s="22"/>
    </row>
    <row r="49" spans="1:14" ht="23.25" customHeight="1">
      <c r="A49" s="15">
        <v>43</v>
      </c>
      <c r="B49" s="15" t="s">
        <v>342</v>
      </c>
      <c r="C49" s="15" t="s">
        <v>343</v>
      </c>
      <c r="D49" s="16" t="s">
        <v>10</v>
      </c>
      <c r="E49" s="17">
        <v>2</v>
      </c>
      <c r="F49" s="18">
        <v>2657.27</v>
      </c>
      <c r="G49" s="19">
        <f t="shared" si="1"/>
        <v>5314.54</v>
      </c>
      <c r="J49" s="20"/>
      <c r="K49" s="20"/>
      <c r="L49" s="21"/>
      <c r="M49" s="22"/>
      <c r="N49" s="22"/>
    </row>
    <row r="50" spans="1:14" ht="23.25" customHeight="1">
      <c r="A50" s="15">
        <v>44</v>
      </c>
      <c r="B50" s="15" t="s">
        <v>335</v>
      </c>
      <c r="C50" s="15" t="s">
        <v>344</v>
      </c>
      <c r="D50" s="16" t="s">
        <v>10</v>
      </c>
      <c r="E50" s="17">
        <v>2</v>
      </c>
      <c r="F50" s="18">
        <v>1458.59</v>
      </c>
      <c r="G50" s="19">
        <f t="shared" si="1"/>
        <v>2917.18</v>
      </c>
      <c r="J50" s="20"/>
      <c r="K50" s="20"/>
      <c r="L50" s="21"/>
      <c r="M50" s="22"/>
      <c r="N50" s="22"/>
    </row>
    <row r="51" spans="1:14" ht="23.25" customHeight="1">
      <c r="A51" s="15">
        <v>45</v>
      </c>
      <c r="B51" s="15" t="s">
        <v>309</v>
      </c>
      <c r="C51" s="15" t="s">
        <v>345</v>
      </c>
      <c r="D51" s="16" t="s">
        <v>10</v>
      </c>
      <c r="E51" s="17">
        <v>2</v>
      </c>
      <c r="F51" s="18">
        <v>1694.21</v>
      </c>
      <c r="G51" s="19">
        <f t="shared" si="1"/>
        <v>3388.42</v>
      </c>
      <c r="J51" s="20"/>
      <c r="K51" s="20"/>
      <c r="L51" s="21"/>
      <c r="M51" s="22"/>
      <c r="N51" s="22"/>
    </row>
    <row r="52" spans="1:14" ht="23.25" customHeight="1">
      <c r="A52" s="15">
        <v>46</v>
      </c>
      <c r="B52" s="15" t="s">
        <v>236</v>
      </c>
      <c r="C52" s="15" t="s">
        <v>346</v>
      </c>
      <c r="D52" s="16" t="s">
        <v>10</v>
      </c>
      <c r="E52" s="17">
        <v>2</v>
      </c>
      <c r="F52" s="18">
        <v>45618.65</v>
      </c>
      <c r="G52" s="19">
        <f t="shared" si="1"/>
        <v>91237.3</v>
      </c>
      <c r="J52" s="20"/>
      <c r="K52" s="20"/>
      <c r="L52" s="21"/>
      <c r="M52" s="22"/>
      <c r="N52" s="22"/>
    </row>
    <row r="53" spans="1:14" ht="23.25" customHeight="1">
      <c r="A53" s="15">
        <v>47</v>
      </c>
      <c r="B53" s="15" t="s">
        <v>238</v>
      </c>
      <c r="C53" s="15" t="s">
        <v>347</v>
      </c>
      <c r="D53" s="16" t="s">
        <v>10</v>
      </c>
      <c r="E53" s="17">
        <v>4</v>
      </c>
      <c r="F53" s="18">
        <v>4061.47</v>
      </c>
      <c r="G53" s="19">
        <f t="shared" si="1"/>
        <v>16245.88</v>
      </c>
      <c r="J53" s="20"/>
      <c r="K53" s="20"/>
      <c r="L53" s="21"/>
      <c r="M53" s="22"/>
      <c r="N53" s="22"/>
    </row>
    <row r="54" spans="1:14" ht="23.25" customHeight="1">
      <c r="A54" s="15">
        <v>48</v>
      </c>
      <c r="B54" s="15" t="s">
        <v>348</v>
      </c>
      <c r="C54" s="15" t="s">
        <v>349</v>
      </c>
      <c r="D54" s="16" t="s">
        <v>10</v>
      </c>
      <c r="E54" s="17">
        <v>4</v>
      </c>
      <c r="F54" s="18">
        <v>35464.170000000006</v>
      </c>
      <c r="G54" s="19">
        <f t="shared" si="1"/>
        <v>141856.68000000002</v>
      </c>
      <c r="J54" s="20"/>
      <c r="K54" s="20"/>
      <c r="L54" s="21"/>
      <c r="M54" s="22"/>
      <c r="N54" s="22"/>
    </row>
    <row r="55" spans="1:14" ht="23.25" customHeight="1">
      <c r="A55" s="15">
        <v>49</v>
      </c>
      <c r="B55" s="15" t="s">
        <v>350</v>
      </c>
      <c r="C55" s="15" t="s">
        <v>351</v>
      </c>
      <c r="D55" s="16" t="s">
        <v>10</v>
      </c>
      <c r="E55" s="17">
        <v>4</v>
      </c>
      <c r="F55" s="18">
        <v>35461.79</v>
      </c>
      <c r="G55" s="19">
        <f t="shared" si="1"/>
        <v>141847.16</v>
      </c>
      <c r="J55" s="20"/>
      <c r="K55" s="20"/>
      <c r="L55" s="21"/>
      <c r="M55" s="22"/>
      <c r="N55" s="22"/>
    </row>
    <row r="56" spans="1:14" ht="23.25" customHeight="1">
      <c r="A56" s="15">
        <v>50</v>
      </c>
      <c r="B56" s="15" t="s">
        <v>132</v>
      </c>
      <c r="C56" s="15" t="s">
        <v>352</v>
      </c>
      <c r="D56" s="16" t="s">
        <v>10</v>
      </c>
      <c r="E56" s="17">
        <v>3</v>
      </c>
      <c r="F56" s="18">
        <v>102827.76</v>
      </c>
      <c r="G56" s="19">
        <f t="shared" si="1"/>
        <v>308483.27999999997</v>
      </c>
      <c r="J56" s="20"/>
      <c r="K56" s="20"/>
      <c r="L56" s="21"/>
      <c r="M56" s="22"/>
      <c r="N56" s="22"/>
    </row>
    <row r="57" spans="1:14" ht="23.25" customHeight="1">
      <c r="A57" s="15">
        <v>51</v>
      </c>
      <c r="B57" s="15" t="s">
        <v>353</v>
      </c>
      <c r="C57" s="15" t="s">
        <v>135</v>
      </c>
      <c r="D57" s="16" t="s">
        <v>10</v>
      </c>
      <c r="E57" s="17">
        <v>3</v>
      </c>
      <c r="F57" s="18">
        <v>5425.98</v>
      </c>
      <c r="G57" s="19">
        <f t="shared" si="1"/>
        <v>16277.939999999999</v>
      </c>
      <c r="J57" s="20"/>
      <c r="K57" s="20"/>
      <c r="L57" s="21"/>
      <c r="M57" s="22"/>
      <c r="N57" s="22"/>
    </row>
    <row r="58" spans="1:14" ht="23.25" customHeight="1">
      <c r="A58" s="15">
        <v>52</v>
      </c>
      <c r="B58" s="15" t="s">
        <v>136</v>
      </c>
      <c r="C58" s="15" t="s">
        <v>354</v>
      </c>
      <c r="D58" s="16" t="s">
        <v>10</v>
      </c>
      <c r="E58" s="17">
        <v>1</v>
      </c>
      <c r="F58" s="18">
        <v>41747.089999999997</v>
      </c>
      <c r="G58" s="19">
        <f t="shared" si="1"/>
        <v>41747.089999999997</v>
      </c>
      <c r="J58" s="20"/>
      <c r="K58" s="20"/>
      <c r="L58" s="21"/>
      <c r="M58" s="22"/>
      <c r="N58" s="22"/>
    </row>
    <row r="59" spans="1:14" ht="23.25" customHeight="1">
      <c r="A59" s="15">
        <v>53</v>
      </c>
      <c r="B59" s="15" t="s">
        <v>355</v>
      </c>
      <c r="C59" s="15" t="s">
        <v>356</v>
      </c>
      <c r="D59" s="16" t="s">
        <v>10</v>
      </c>
      <c r="E59" s="17">
        <v>1</v>
      </c>
      <c r="F59" s="18">
        <v>29158.01</v>
      </c>
      <c r="G59" s="19">
        <f t="shared" si="1"/>
        <v>29158.01</v>
      </c>
      <c r="J59" s="20"/>
      <c r="K59" s="20"/>
      <c r="L59" s="21"/>
      <c r="M59" s="22"/>
      <c r="N59" s="22"/>
    </row>
    <row r="60" spans="1:14" ht="23.25" customHeight="1">
      <c r="A60" s="15">
        <v>54</v>
      </c>
      <c r="B60" s="15" t="s">
        <v>357</v>
      </c>
      <c r="C60" s="15" t="s">
        <v>137</v>
      </c>
      <c r="D60" s="16" t="s">
        <v>10</v>
      </c>
      <c r="E60" s="17">
        <v>1</v>
      </c>
      <c r="F60" s="18">
        <v>27839</v>
      </c>
      <c r="G60" s="19">
        <f t="shared" si="1"/>
        <v>27839</v>
      </c>
      <c r="J60" s="20"/>
      <c r="K60" s="20"/>
      <c r="L60" s="21"/>
      <c r="M60" s="22"/>
      <c r="N60" s="22"/>
    </row>
    <row r="61" spans="1:14" ht="23.25" customHeight="1">
      <c r="A61" s="15">
        <v>55</v>
      </c>
      <c r="B61" s="15" t="s">
        <v>358</v>
      </c>
      <c r="C61" s="15" t="s">
        <v>138</v>
      </c>
      <c r="D61" s="16" t="s">
        <v>10</v>
      </c>
      <c r="E61" s="17">
        <v>1</v>
      </c>
      <c r="F61" s="18">
        <v>23860.06</v>
      </c>
      <c r="G61" s="19">
        <f t="shared" si="1"/>
        <v>23860.06</v>
      </c>
      <c r="J61" s="20"/>
      <c r="K61" s="20"/>
      <c r="L61" s="21"/>
      <c r="M61" s="22"/>
      <c r="N61" s="22"/>
    </row>
    <row r="62" spans="1:14" ht="23.25" customHeight="1">
      <c r="A62" s="15">
        <v>56</v>
      </c>
      <c r="B62" s="15" t="s">
        <v>359</v>
      </c>
      <c r="C62" s="15" t="s">
        <v>360</v>
      </c>
      <c r="D62" s="16" t="s">
        <v>10</v>
      </c>
      <c r="E62" s="17">
        <v>1</v>
      </c>
      <c r="F62" s="18">
        <v>29158.01</v>
      </c>
      <c r="G62" s="19">
        <f t="shared" si="1"/>
        <v>29158.01</v>
      </c>
      <c r="J62" s="20"/>
      <c r="K62" s="20"/>
      <c r="L62" s="21"/>
      <c r="M62" s="22"/>
      <c r="N62" s="22"/>
    </row>
    <row r="63" spans="1:14" ht="23.25" customHeight="1">
      <c r="A63" s="15">
        <v>57</v>
      </c>
      <c r="B63" s="15" t="s">
        <v>361</v>
      </c>
      <c r="C63" s="15" t="s">
        <v>141</v>
      </c>
      <c r="D63" s="16" t="s">
        <v>10</v>
      </c>
      <c r="E63" s="17">
        <v>1</v>
      </c>
      <c r="F63" s="18">
        <v>23527.35</v>
      </c>
      <c r="G63" s="19">
        <f t="shared" si="1"/>
        <v>23527.35</v>
      </c>
      <c r="J63" s="20"/>
      <c r="K63" s="20"/>
      <c r="L63" s="21"/>
      <c r="M63" s="22"/>
      <c r="N63" s="22"/>
    </row>
    <row r="64" spans="1:14" ht="23.25" customHeight="1">
      <c r="A64" s="15">
        <v>58</v>
      </c>
      <c r="B64" s="15" t="s">
        <v>362</v>
      </c>
      <c r="C64" s="15" t="s">
        <v>363</v>
      </c>
      <c r="D64" s="16" t="s">
        <v>10</v>
      </c>
      <c r="E64" s="17">
        <v>1</v>
      </c>
      <c r="F64" s="18">
        <v>23907.59</v>
      </c>
      <c r="G64" s="19">
        <f t="shared" si="1"/>
        <v>23907.59</v>
      </c>
      <c r="J64" s="20"/>
      <c r="K64" s="20"/>
      <c r="L64" s="21"/>
      <c r="M64" s="22"/>
      <c r="N64" s="22"/>
    </row>
    <row r="65" spans="1:14" ht="23.25" customHeight="1">
      <c r="A65" s="15">
        <v>59</v>
      </c>
      <c r="B65" s="15" t="s">
        <v>364</v>
      </c>
      <c r="C65" s="15" t="s">
        <v>365</v>
      </c>
      <c r="D65" s="16" t="s">
        <v>10</v>
      </c>
      <c r="E65" s="17">
        <v>1</v>
      </c>
      <c r="F65" s="18">
        <v>31390.17</v>
      </c>
      <c r="G65" s="19">
        <f t="shared" si="1"/>
        <v>31390.17</v>
      </c>
      <c r="J65" s="20"/>
      <c r="K65" s="20"/>
      <c r="L65" s="21"/>
      <c r="M65" s="22"/>
      <c r="N65" s="22"/>
    </row>
    <row r="66" spans="1:14" ht="23.25" customHeight="1">
      <c r="A66" s="15">
        <v>60</v>
      </c>
      <c r="B66" s="15" t="s">
        <v>366</v>
      </c>
      <c r="C66" s="15" t="s">
        <v>367</v>
      </c>
      <c r="D66" s="16" t="s">
        <v>10</v>
      </c>
      <c r="E66" s="17">
        <v>2</v>
      </c>
      <c r="F66" s="18">
        <v>4483.92</v>
      </c>
      <c r="G66" s="19">
        <f t="shared" si="1"/>
        <v>8967.84</v>
      </c>
      <c r="J66" s="20"/>
      <c r="K66" s="20"/>
      <c r="L66" s="21"/>
      <c r="M66" s="22"/>
      <c r="N66" s="22"/>
    </row>
    <row r="67" spans="1:14" ht="23.25" customHeight="1">
      <c r="A67" s="15">
        <v>61</v>
      </c>
      <c r="B67" s="15" t="s">
        <v>368</v>
      </c>
      <c r="C67" s="15" t="s">
        <v>369</v>
      </c>
      <c r="D67" s="16" t="s">
        <v>10</v>
      </c>
      <c r="E67" s="17">
        <v>1</v>
      </c>
      <c r="F67" s="18">
        <v>172.34</v>
      </c>
      <c r="G67" s="19">
        <f t="shared" si="1"/>
        <v>172.34</v>
      </c>
      <c r="J67" s="20"/>
      <c r="K67" s="20"/>
      <c r="L67" s="21"/>
      <c r="M67" s="22"/>
      <c r="N67" s="22"/>
    </row>
    <row r="68" spans="1:14" ht="23.25" customHeight="1">
      <c r="A68" s="15">
        <v>62</v>
      </c>
      <c r="B68" s="15" t="s">
        <v>370</v>
      </c>
      <c r="C68" s="26">
        <v>47729589001</v>
      </c>
      <c r="D68" s="16" t="s">
        <v>10</v>
      </c>
      <c r="E68" s="17">
        <v>1</v>
      </c>
      <c r="F68" s="18">
        <v>52147.199999999997</v>
      </c>
      <c r="G68" s="19">
        <f t="shared" si="1"/>
        <v>52147.199999999997</v>
      </c>
      <c r="J68" s="20"/>
      <c r="K68" s="20"/>
      <c r="L68" s="21"/>
      <c r="M68" s="22"/>
      <c r="N68" s="22"/>
    </row>
    <row r="69" spans="1:14" ht="23.25" customHeight="1">
      <c r="A69" s="15">
        <v>63</v>
      </c>
      <c r="B69" s="15" t="s">
        <v>371</v>
      </c>
      <c r="C69" s="15" t="s">
        <v>220</v>
      </c>
      <c r="D69" s="16" t="s">
        <v>10</v>
      </c>
      <c r="E69" s="17">
        <v>3</v>
      </c>
      <c r="F69" s="18">
        <v>8355.4800000000014</v>
      </c>
      <c r="G69" s="19">
        <f t="shared" si="1"/>
        <v>25066.440000000002</v>
      </c>
      <c r="J69" s="20"/>
      <c r="K69" s="20"/>
      <c r="L69" s="21"/>
      <c r="M69" s="22"/>
      <c r="N69" s="22"/>
    </row>
    <row r="70" spans="1:14" ht="23.25" customHeight="1">
      <c r="A70" s="15">
        <v>64</v>
      </c>
      <c r="B70" s="15" t="s">
        <v>223</v>
      </c>
      <c r="C70" s="15">
        <v>821302500</v>
      </c>
      <c r="D70" s="16" t="s">
        <v>10</v>
      </c>
      <c r="E70" s="17">
        <v>3</v>
      </c>
      <c r="F70" s="18">
        <v>2030.7000000000003</v>
      </c>
      <c r="G70" s="19">
        <f t="shared" si="1"/>
        <v>6092.1</v>
      </c>
      <c r="J70" s="20"/>
      <c r="K70" s="20"/>
      <c r="L70" s="21"/>
      <c r="M70" s="22"/>
      <c r="N70" s="22"/>
    </row>
    <row r="71" spans="1:14" ht="23.25" customHeight="1">
      <c r="A71" s="15">
        <v>65</v>
      </c>
      <c r="B71" s="15" t="s">
        <v>224</v>
      </c>
      <c r="C71" s="15" t="s">
        <v>372</v>
      </c>
      <c r="D71" s="16" t="s">
        <v>10</v>
      </c>
      <c r="E71" s="17">
        <v>2</v>
      </c>
      <c r="F71" s="18">
        <v>7604.8000000000011</v>
      </c>
      <c r="G71" s="19">
        <f t="shared" ref="G71:G102" si="2">F71*E71</f>
        <v>15209.600000000002</v>
      </c>
      <c r="J71" s="20"/>
      <c r="K71" s="20"/>
      <c r="L71" s="21"/>
      <c r="M71" s="22"/>
      <c r="N71" s="22"/>
    </row>
    <row r="72" spans="1:14" ht="23.25" customHeight="1">
      <c r="A72" s="15">
        <v>66</v>
      </c>
      <c r="B72" s="15" t="s">
        <v>226</v>
      </c>
      <c r="C72" s="15" t="s">
        <v>373</v>
      </c>
      <c r="D72" s="16" t="s">
        <v>10</v>
      </c>
      <c r="E72" s="17">
        <v>2</v>
      </c>
      <c r="F72" s="18">
        <v>8245.65</v>
      </c>
      <c r="G72" s="19">
        <f t="shared" si="2"/>
        <v>16491.3</v>
      </c>
      <c r="J72" s="20"/>
      <c r="K72" s="20"/>
      <c r="L72" s="21"/>
      <c r="M72" s="22"/>
      <c r="N72" s="22"/>
    </row>
    <row r="73" spans="1:14" ht="23.25" customHeight="1">
      <c r="A73" s="15">
        <v>67</v>
      </c>
      <c r="B73" s="15" t="s">
        <v>371</v>
      </c>
      <c r="C73" s="15" t="s">
        <v>230</v>
      </c>
      <c r="D73" s="16" t="s">
        <v>10</v>
      </c>
      <c r="E73" s="17">
        <v>2</v>
      </c>
      <c r="F73" s="18">
        <v>903.07</v>
      </c>
      <c r="G73" s="19">
        <f t="shared" si="2"/>
        <v>1806.14</v>
      </c>
      <c r="J73" s="20"/>
      <c r="K73" s="20"/>
      <c r="L73" s="21"/>
      <c r="M73" s="22"/>
      <c r="N73" s="22"/>
    </row>
    <row r="74" spans="1:14" ht="23.25" customHeight="1">
      <c r="A74" s="15">
        <v>68</v>
      </c>
      <c r="B74" s="15" t="s">
        <v>231</v>
      </c>
      <c r="C74" s="15">
        <v>47723683001</v>
      </c>
      <c r="D74" s="16" t="s">
        <v>10</v>
      </c>
      <c r="E74" s="17">
        <v>1</v>
      </c>
      <c r="F74" s="18">
        <v>5620.79</v>
      </c>
      <c r="G74" s="19">
        <f t="shared" si="2"/>
        <v>5620.79</v>
      </c>
      <c r="J74" s="20"/>
      <c r="K74" s="20"/>
      <c r="L74" s="21"/>
      <c r="M74" s="22"/>
      <c r="N74" s="22"/>
    </row>
    <row r="75" spans="1:14" ht="23.25" customHeight="1">
      <c r="A75" s="15">
        <v>69</v>
      </c>
      <c r="B75" s="15" t="s">
        <v>374</v>
      </c>
      <c r="C75" s="26">
        <v>54654652</v>
      </c>
      <c r="D75" s="16" t="s">
        <v>10</v>
      </c>
      <c r="E75" s="17">
        <v>1</v>
      </c>
      <c r="F75" s="18">
        <v>3610.8100000000004</v>
      </c>
      <c r="G75" s="19">
        <f t="shared" si="2"/>
        <v>3610.8100000000004</v>
      </c>
      <c r="J75" s="20"/>
      <c r="K75" s="20"/>
      <c r="L75" s="21"/>
      <c r="M75" s="22"/>
      <c r="N75" s="22"/>
    </row>
    <row r="76" spans="1:14" ht="23.25" customHeight="1">
      <c r="A76" s="15">
        <v>70</v>
      </c>
      <c r="B76" s="15" t="s">
        <v>374</v>
      </c>
      <c r="C76" s="26">
        <v>54774302</v>
      </c>
      <c r="D76" s="16" t="s">
        <v>10</v>
      </c>
      <c r="E76" s="17">
        <v>1</v>
      </c>
      <c r="F76" s="18">
        <v>2068.71</v>
      </c>
      <c r="G76" s="19">
        <f t="shared" si="2"/>
        <v>2068.71</v>
      </c>
      <c r="J76" s="20"/>
      <c r="K76" s="20"/>
      <c r="L76" s="21"/>
      <c r="M76" s="22"/>
      <c r="N76" s="22"/>
    </row>
    <row r="77" spans="1:14" ht="23.25" customHeight="1">
      <c r="A77" s="15">
        <v>71</v>
      </c>
      <c r="B77" s="15" t="s">
        <v>234</v>
      </c>
      <c r="C77" s="15">
        <v>47708373001</v>
      </c>
      <c r="D77" s="16" t="s">
        <v>10</v>
      </c>
      <c r="E77" s="17">
        <v>1</v>
      </c>
      <c r="F77" s="18">
        <v>2176.23</v>
      </c>
      <c r="G77" s="19">
        <f t="shared" si="2"/>
        <v>2176.23</v>
      </c>
      <c r="J77" s="20"/>
      <c r="K77" s="20"/>
      <c r="L77" s="21"/>
      <c r="M77" s="22"/>
      <c r="N77" s="22"/>
    </row>
    <row r="78" spans="1:14" ht="23.25" customHeight="1">
      <c r="A78" s="15">
        <v>72</v>
      </c>
      <c r="B78" s="15" t="s">
        <v>224</v>
      </c>
      <c r="C78" s="15">
        <v>1827231035</v>
      </c>
      <c r="D78" s="16" t="s">
        <v>10</v>
      </c>
      <c r="E78" s="17">
        <v>3</v>
      </c>
      <c r="F78" s="18">
        <v>590.73</v>
      </c>
      <c r="G78" s="19">
        <f t="shared" si="2"/>
        <v>1772.19</v>
      </c>
      <c r="J78" s="20"/>
      <c r="K78" s="20"/>
      <c r="L78" s="21"/>
      <c r="M78" s="22"/>
      <c r="N78" s="22"/>
    </row>
    <row r="79" spans="1:14" ht="23.25" customHeight="1">
      <c r="A79" s="15">
        <v>73</v>
      </c>
      <c r="B79" s="15" t="s">
        <v>235</v>
      </c>
      <c r="C79" s="15">
        <v>47612383001</v>
      </c>
      <c r="D79" s="16" t="s">
        <v>10</v>
      </c>
      <c r="E79" s="17">
        <v>2</v>
      </c>
      <c r="F79" s="18">
        <v>2108.0499999999997</v>
      </c>
      <c r="G79" s="19">
        <f t="shared" si="2"/>
        <v>4216.0999999999995</v>
      </c>
      <c r="J79" s="20"/>
      <c r="K79" s="20"/>
      <c r="L79" s="21"/>
      <c r="M79" s="22"/>
      <c r="N79" s="22"/>
    </row>
    <row r="80" spans="1:14" ht="23.25" customHeight="1">
      <c r="A80" s="15">
        <v>74</v>
      </c>
      <c r="B80" s="15" t="s">
        <v>375</v>
      </c>
      <c r="C80" s="26">
        <v>82730</v>
      </c>
      <c r="D80" s="16" t="s">
        <v>10</v>
      </c>
      <c r="E80" s="17">
        <v>1</v>
      </c>
      <c r="F80" s="18">
        <v>43571.43</v>
      </c>
      <c r="G80" s="19">
        <f t="shared" si="2"/>
        <v>43571.43</v>
      </c>
      <c r="J80" s="20"/>
      <c r="K80" s="20"/>
      <c r="L80" s="21"/>
      <c r="M80" s="22"/>
      <c r="N80" s="22"/>
    </row>
    <row r="81" spans="1:14" s="2" customFormat="1" ht="23.25" customHeight="1">
      <c r="A81" s="15">
        <v>75</v>
      </c>
      <c r="B81" s="15" t="s">
        <v>211</v>
      </c>
      <c r="C81" s="15">
        <v>1904</v>
      </c>
      <c r="D81" s="16" t="s">
        <v>10</v>
      </c>
      <c r="E81" s="17">
        <v>2</v>
      </c>
      <c r="F81" s="18">
        <v>97382.18</v>
      </c>
      <c r="G81" s="19">
        <f t="shared" si="2"/>
        <v>194764.36</v>
      </c>
      <c r="H81" s="7"/>
      <c r="I81" s="7"/>
      <c r="J81" s="20"/>
      <c r="K81" s="20"/>
      <c r="L81" s="21"/>
      <c r="M81" s="24"/>
      <c r="N81" s="24"/>
    </row>
    <row r="82" spans="1:14" s="2" customFormat="1" ht="23.25" customHeight="1">
      <c r="A82" s="15">
        <v>76</v>
      </c>
      <c r="B82" s="15" t="s">
        <v>218</v>
      </c>
      <c r="C82" s="15">
        <v>5653011310</v>
      </c>
      <c r="D82" s="16" t="s">
        <v>10</v>
      </c>
      <c r="E82" s="17">
        <v>3</v>
      </c>
      <c r="F82" s="18">
        <v>8474.9700000000012</v>
      </c>
      <c r="G82" s="19">
        <f t="shared" si="2"/>
        <v>25424.910000000003</v>
      </c>
      <c r="H82" s="7"/>
      <c r="I82" s="7"/>
      <c r="J82" s="20"/>
      <c r="K82" s="20"/>
      <c r="L82" s="21"/>
      <c r="M82" s="24"/>
      <c r="N82" s="24"/>
    </row>
    <row r="83" spans="1:14" ht="23.25" customHeight="1">
      <c r="A83" s="15">
        <v>77</v>
      </c>
      <c r="B83" s="15" t="s">
        <v>376</v>
      </c>
      <c r="C83" s="15" t="s">
        <v>377</v>
      </c>
      <c r="D83" s="16" t="s">
        <v>10</v>
      </c>
      <c r="E83" s="17">
        <v>1</v>
      </c>
      <c r="F83" s="18">
        <v>100137.65999999999</v>
      </c>
      <c r="G83" s="19">
        <f t="shared" si="2"/>
        <v>100137.65999999999</v>
      </c>
      <c r="J83" s="20"/>
      <c r="K83" s="20"/>
      <c r="L83" s="21"/>
      <c r="M83" s="22"/>
      <c r="N83" s="22"/>
    </row>
    <row r="84" spans="1:14" ht="23.25" customHeight="1">
      <c r="A84" s="15">
        <v>78</v>
      </c>
      <c r="B84" s="15" t="s">
        <v>224</v>
      </c>
      <c r="C84" s="15" t="s">
        <v>228</v>
      </c>
      <c r="D84" s="16" t="s">
        <v>10</v>
      </c>
      <c r="E84" s="17">
        <v>2</v>
      </c>
      <c r="F84" s="18">
        <v>7605.08</v>
      </c>
      <c r="G84" s="19">
        <f t="shared" si="2"/>
        <v>15210.16</v>
      </c>
      <c r="J84" s="20"/>
      <c r="K84" s="20"/>
      <c r="L84" s="21"/>
      <c r="M84" s="22"/>
      <c r="N84" s="22"/>
    </row>
    <row r="85" spans="1:14" ht="23.25" customHeight="1">
      <c r="A85" s="15">
        <v>79</v>
      </c>
      <c r="B85" s="15" t="s">
        <v>378</v>
      </c>
      <c r="C85" s="15" t="s">
        <v>379</v>
      </c>
      <c r="D85" s="16" t="s">
        <v>10</v>
      </c>
      <c r="E85" s="17">
        <v>2</v>
      </c>
      <c r="F85" s="18">
        <v>1018.29</v>
      </c>
      <c r="G85" s="19">
        <f t="shared" si="2"/>
        <v>2036.58</v>
      </c>
      <c r="J85" s="20"/>
      <c r="K85" s="20"/>
      <c r="L85" s="21"/>
      <c r="M85" s="22"/>
      <c r="N85" s="22"/>
    </row>
    <row r="86" spans="1:14" ht="23.25" customHeight="1">
      <c r="A86" s="15">
        <v>80</v>
      </c>
      <c r="B86" s="15" t="s">
        <v>380</v>
      </c>
      <c r="C86" s="15" t="s">
        <v>178</v>
      </c>
      <c r="D86" s="16" t="s">
        <v>10</v>
      </c>
      <c r="E86" s="17">
        <v>3</v>
      </c>
      <c r="F86" s="18">
        <v>1452.71</v>
      </c>
      <c r="G86" s="19">
        <f t="shared" si="2"/>
        <v>4358.13</v>
      </c>
      <c r="J86" s="20"/>
      <c r="K86" s="20"/>
      <c r="L86" s="21"/>
      <c r="M86" s="22"/>
      <c r="N86" s="22"/>
    </row>
    <row r="87" spans="1:14" ht="23.25" customHeight="1">
      <c r="A87" s="15">
        <v>81</v>
      </c>
      <c r="B87" s="15" t="s">
        <v>381</v>
      </c>
      <c r="C87" s="15" t="s">
        <v>382</v>
      </c>
      <c r="D87" s="16" t="s">
        <v>10</v>
      </c>
      <c r="E87" s="17">
        <v>2</v>
      </c>
      <c r="F87" s="18">
        <v>2856.28</v>
      </c>
      <c r="G87" s="19">
        <f t="shared" si="2"/>
        <v>5712.56</v>
      </c>
      <c r="J87" s="20"/>
      <c r="K87" s="20"/>
      <c r="L87" s="21"/>
      <c r="M87" s="22"/>
      <c r="N87" s="22"/>
    </row>
    <row r="88" spans="1:14" ht="23.25" customHeight="1">
      <c r="A88" s="15">
        <v>82</v>
      </c>
      <c r="B88" s="15" t="s">
        <v>165</v>
      </c>
      <c r="C88" s="15" t="s">
        <v>166</v>
      </c>
      <c r="D88" s="16" t="s">
        <v>10</v>
      </c>
      <c r="E88" s="17">
        <v>2</v>
      </c>
      <c r="F88" s="18">
        <v>33876.36</v>
      </c>
      <c r="G88" s="19">
        <f t="shared" si="2"/>
        <v>67752.72</v>
      </c>
      <c r="J88" s="20"/>
      <c r="K88" s="20"/>
      <c r="L88" s="21"/>
      <c r="M88" s="22"/>
      <c r="N88" s="22"/>
    </row>
    <row r="89" spans="1:14" ht="23.25" customHeight="1">
      <c r="A89" s="15">
        <v>83</v>
      </c>
      <c r="B89" s="15" t="s">
        <v>383</v>
      </c>
      <c r="C89" s="15">
        <v>23767080</v>
      </c>
      <c r="D89" s="16" t="s">
        <v>10</v>
      </c>
      <c r="E89" s="17">
        <v>1</v>
      </c>
      <c r="F89" s="18">
        <v>1624.63</v>
      </c>
      <c r="G89" s="19">
        <f t="shared" si="2"/>
        <v>1624.63</v>
      </c>
      <c r="J89" s="20"/>
      <c r="K89" s="20"/>
      <c r="L89" s="21"/>
      <c r="M89" s="22"/>
      <c r="N89" s="22"/>
    </row>
    <row r="90" spans="1:14" ht="23.25" customHeight="1">
      <c r="A90" s="15">
        <v>84</v>
      </c>
      <c r="B90" s="15" t="s">
        <v>234</v>
      </c>
      <c r="C90" s="15">
        <v>47708080001</v>
      </c>
      <c r="D90" s="16" t="s">
        <v>10</v>
      </c>
      <c r="E90" s="17">
        <v>2</v>
      </c>
      <c r="F90" s="18">
        <v>634.76</v>
      </c>
      <c r="G90" s="19">
        <f t="shared" si="2"/>
        <v>1269.52</v>
      </c>
      <c r="J90" s="20"/>
      <c r="K90" s="20"/>
      <c r="L90" s="21"/>
      <c r="M90" s="22"/>
      <c r="N90" s="22"/>
    </row>
    <row r="91" spans="1:14" s="2" customFormat="1" ht="23.25" customHeight="1">
      <c r="A91" s="15">
        <v>85</v>
      </c>
      <c r="B91" s="15" t="s">
        <v>384</v>
      </c>
      <c r="C91" s="15" t="s">
        <v>385</v>
      </c>
      <c r="D91" s="16" t="s">
        <v>10</v>
      </c>
      <c r="E91" s="17">
        <v>1</v>
      </c>
      <c r="F91" s="18">
        <v>1856.75</v>
      </c>
      <c r="G91" s="19">
        <f t="shared" si="2"/>
        <v>1856.75</v>
      </c>
      <c r="H91" s="7"/>
      <c r="I91" s="7"/>
      <c r="J91" s="20"/>
      <c r="K91" s="20"/>
      <c r="L91" s="21"/>
      <c r="M91" s="24"/>
      <c r="N91" s="24"/>
    </row>
    <row r="92" spans="1:14" ht="23.25" customHeight="1">
      <c r="A92" s="15">
        <v>86</v>
      </c>
      <c r="B92" s="15" t="s">
        <v>386</v>
      </c>
      <c r="C92" s="15" t="s">
        <v>387</v>
      </c>
      <c r="D92" s="16" t="s">
        <v>10</v>
      </c>
      <c r="E92" s="17">
        <v>2</v>
      </c>
      <c r="F92" s="18">
        <v>8538.18</v>
      </c>
      <c r="G92" s="19">
        <f t="shared" si="2"/>
        <v>17076.36</v>
      </c>
      <c r="J92" s="20"/>
      <c r="K92" s="20"/>
      <c r="L92" s="21"/>
      <c r="M92" s="22"/>
      <c r="N92" s="22"/>
    </row>
    <row r="93" spans="1:14" ht="23.25" customHeight="1">
      <c r="A93" s="15">
        <v>87</v>
      </c>
      <c r="B93" s="15" t="s">
        <v>388</v>
      </c>
      <c r="C93" s="15" t="s">
        <v>389</v>
      </c>
      <c r="D93" s="16" t="s">
        <v>10</v>
      </c>
      <c r="E93" s="17">
        <v>2</v>
      </c>
      <c r="F93" s="18">
        <v>6545.56</v>
      </c>
      <c r="G93" s="19">
        <f t="shared" si="2"/>
        <v>13091.12</v>
      </c>
      <c r="J93" s="20"/>
      <c r="K93" s="20"/>
      <c r="L93" s="21"/>
      <c r="M93" s="22"/>
      <c r="N93" s="22"/>
    </row>
    <row r="94" spans="1:14" ht="23.25" customHeight="1">
      <c r="A94" s="25">
        <v>88</v>
      </c>
      <c r="B94" s="25" t="s">
        <v>390</v>
      </c>
      <c r="C94" s="25" t="s">
        <v>170</v>
      </c>
      <c r="D94" s="27" t="s">
        <v>10</v>
      </c>
      <c r="E94" s="28">
        <v>12</v>
      </c>
      <c r="F94" s="29">
        <v>2790.69</v>
      </c>
      <c r="G94" s="30">
        <f t="shared" si="2"/>
        <v>33488.28</v>
      </c>
      <c r="H94" s="3"/>
      <c r="I94" s="3"/>
      <c r="J94" s="31"/>
      <c r="K94" s="31"/>
      <c r="L94" s="22"/>
      <c r="M94" s="22"/>
      <c r="N94" s="22"/>
    </row>
    <row r="95" spans="1:14" ht="23.25" customHeight="1">
      <c r="A95" s="15">
        <v>89</v>
      </c>
      <c r="B95" s="15" t="s">
        <v>391</v>
      </c>
      <c r="C95" s="15" t="s">
        <v>392</v>
      </c>
      <c r="D95" s="16" t="s">
        <v>10</v>
      </c>
      <c r="E95" s="17">
        <v>1</v>
      </c>
      <c r="F95" s="18">
        <v>4155.4799999999996</v>
      </c>
      <c r="G95" s="19">
        <f t="shared" si="2"/>
        <v>4155.4799999999996</v>
      </c>
      <c r="J95" s="20"/>
      <c r="K95" s="20"/>
      <c r="L95" s="21"/>
      <c r="M95" s="22"/>
      <c r="N95" s="22"/>
    </row>
    <row r="96" spans="1:14" ht="23.25" customHeight="1">
      <c r="A96" s="15">
        <v>90</v>
      </c>
      <c r="B96" s="15" t="s">
        <v>393</v>
      </c>
      <c r="C96" s="15" t="s">
        <v>394</v>
      </c>
      <c r="D96" s="16" t="s">
        <v>10</v>
      </c>
      <c r="E96" s="17">
        <v>1</v>
      </c>
      <c r="F96" s="18">
        <v>62413.68</v>
      </c>
      <c r="G96" s="19">
        <f t="shared" si="2"/>
        <v>62413.68</v>
      </c>
      <c r="J96" s="20"/>
      <c r="K96" s="20"/>
      <c r="L96" s="21"/>
      <c r="M96" s="22"/>
      <c r="N96" s="22"/>
    </row>
    <row r="97" spans="1:14" s="2" customFormat="1" ht="23.25" customHeight="1">
      <c r="A97" s="15">
        <v>91</v>
      </c>
      <c r="B97" s="15" t="s">
        <v>395</v>
      </c>
      <c r="C97" s="15" t="s">
        <v>396</v>
      </c>
      <c r="D97" s="16" t="s">
        <v>10</v>
      </c>
      <c r="E97" s="17">
        <v>1</v>
      </c>
      <c r="F97" s="18">
        <v>461528.20000000007</v>
      </c>
      <c r="G97" s="19">
        <f t="shared" si="2"/>
        <v>461528.20000000007</v>
      </c>
      <c r="H97" s="7"/>
      <c r="I97" s="7"/>
      <c r="J97" s="20"/>
      <c r="K97" s="20"/>
      <c r="L97" s="21"/>
      <c r="M97" s="24"/>
      <c r="N97" s="24"/>
    </row>
    <row r="98" spans="1:14" ht="23.25" customHeight="1">
      <c r="A98" s="15">
        <v>92</v>
      </c>
      <c r="B98" s="15" t="s">
        <v>397</v>
      </c>
      <c r="C98" s="15" t="s">
        <v>398</v>
      </c>
      <c r="D98" s="16" t="s">
        <v>10</v>
      </c>
      <c r="E98" s="17">
        <v>1</v>
      </c>
      <c r="F98" s="18">
        <v>376627.72</v>
      </c>
      <c r="G98" s="19">
        <f t="shared" si="2"/>
        <v>376627.72</v>
      </c>
      <c r="J98" s="20"/>
      <c r="K98" s="20"/>
      <c r="L98" s="21"/>
      <c r="M98" s="22"/>
      <c r="N98" s="22"/>
    </row>
    <row r="99" spans="1:14" ht="23.25" customHeight="1">
      <c r="A99" s="15">
        <v>93</v>
      </c>
      <c r="B99" s="15" t="s">
        <v>16</v>
      </c>
      <c r="C99" s="15" t="s">
        <v>17</v>
      </c>
      <c r="D99" s="16" t="s">
        <v>10</v>
      </c>
      <c r="E99" s="17">
        <v>2</v>
      </c>
      <c r="F99" s="18">
        <v>24172.400000000001</v>
      </c>
      <c r="G99" s="19">
        <f t="shared" si="2"/>
        <v>48344.800000000003</v>
      </c>
      <c r="J99" s="20"/>
      <c r="K99" s="20"/>
      <c r="L99" s="21"/>
      <c r="M99" s="22"/>
      <c r="N99" s="22"/>
    </row>
    <row r="100" spans="1:14" s="2" customFormat="1" ht="23.25" customHeight="1">
      <c r="A100" s="15">
        <v>94</v>
      </c>
      <c r="B100" s="15" t="s">
        <v>399</v>
      </c>
      <c r="C100" s="15" t="s">
        <v>400</v>
      </c>
      <c r="D100" s="16" t="s">
        <v>10</v>
      </c>
      <c r="E100" s="17">
        <v>1</v>
      </c>
      <c r="F100" s="18">
        <v>1054.83</v>
      </c>
      <c r="G100" s="19">
        <f t="shared" si="2"/>
        <v>1054.83</v>
      </c>
      <c r="H100" s="7"/>
      <c r="I100" s="7"/>
      <c r="J100" s="20"/>
      <c r="K100" s="20"/>
      <c r="L100" s="21"/>
      <c r="M100" s="24"/>
      <c r="N100" s="24"/>
    </row>
    <row r="101" spans="1:14" ht="23.25" customHeight="1">
      <c r="A101" s="15">
        <v>95</v>
      </c>
      <c r="B101" s="15" t="s">
        <v>401</v>
      </c>
      <c r="C101" s="15" t="s">
        <v>402</v>
      </c>
      <c r="D101" s="16" t="s">
        <v>10</v>
      </c>
      <c r="E101" s="17">
        <v>1</v>
      </c>
      <c r="F101" s="18">
        <v>763.21</v>
      </c>
      <c r="G101" s="19">
        <f t="shared" si="2"/>
        <v>763.21</v>
      </c>
      <c r="J101" s="20"/>
      <c r="K101" s="20"/>
      <c r="L101" s="21"/>
      <c r="M101" s="22"/>
      <c r="N101" s="22"/>
    </row>
    <row r="102" spans="1:14" ht="23.25" customHeight="1">
      <c r="A102" s="15">
        <v>96</v>
      </c>
      <c r="B102" s="15" t="s">
        <v>403</v>
      </c>
      <c r="C102" s="15" t="s">
        <v>404</v>
      </c>
      <c r="D102" s="16" t="s">
        <v>10</v>
      </c>
      <c r="E102" s="17">
        <v>1</v>
      </c>
      <c r="F102" s="18">
        <v>5204.0099999999993</v>
      </c>
      <c r="G102" s="19">
        <f t="shared" si="2"/>
        <v>5204.0099999999993</v>
      </c>
      <c r="J102" s="20"/>
      <c r="K102" s="20"/>
      <c r="L102" s="21"/>
      <c r="M102" s="22"/>
      <c r="N102" s="22"/>
    </row>
    <row r="103" spans="1:14" ht="23.25" customHeight="1">
      <c r="A103" s="15">
        <v>97</v>
      </c>
      <c r="B103" s="15" t="s">
        <v>405</v>
      </c>
      <c r="C103" s="15" t="s">
        <v>406</v>
      </c>
      <c r="D103" s="16" t="s">
        <v>10</v>
      </c>
      <c r="E103" s="17">
        <v>2</v>
      </c>
      <c r="F103" s="18">
        <v>8116.57</v>
      </c>
      <c r="G103" s="19">
        <f t="shared" ref="G103:G121" si="3">F103*E103</f>
        <v>16233.14</v>
      </c>
      <c r="J103" s="20"/>
      <c r="K103" s="20"/>
      <c r="L103" s="21"/>
      <c r="M103" s="22"/>
      <c r="N103" s="22"/>
    </row>
    <row r="104" spans="1:14" ht="23.25" customHeight="1">
      <c r="A104" s="15">
        <v>98</v>
      </c>
      <c r="B104" s="15" t="s">
        <v>215</v>
      </c>
      <c r="C104" s="15" t="s">
        <v>216</v>
      </c>
      <c r="D104" s="16" t="s">
        <v>10</v>
      </c>
      <c r="E104" s="17">
        <v>3</v>
      </c>
      <c r="F104" s="18">
        <v>29838.269999999997</v>
      </c>
      <c r="G104" s="19">
        <f t="shared" si="3"/>
        <v>89514.81</v>
      </c>
      <c r="J104" s="20"/>
      <c r="K104" s="20"/>
      <c r="L104" s="21"/>
      <c r="M104" s="22"/>
      <c r="N104" s="22"/>
    </row>
    <row r="105" spans="1:14" ht="23.25" customHeight="1">
      <c r="A105" s="15">
        <v>99</v>
      </c>
      <c r="B105" s="15" t="s">
        <v>407</v>
      </c>
      <c r="C105" s="15" t="s">
        <v>408</v>
      </c>
      <c r="D105" s="16" t="s">
        <v>10</v>
      </c>
      <c r="E105" s="17">
        <v>1</v>
      </c>
      <c r="F105" s="18">
        <v>37690.519999999997</v>
      </c>
      <c r="G105" s="19">
        <f t="shared" si="3"/>
        <v>37690.519999999997</v>
      </c>
      <c r="J105" s="20"/>
      <c r="K105" s="20"/>
      <c r="L105" s="21"/>
      <c r="M105" s="22"/>
      <c r="N105" s="22"/>
    </row>
    <row r="106" spans="1:14" ht="23.25" customHeight="1">
      <c r="A106" s="15">
        <v>100</v>
      </c>
      <c r="B106" s="15" t="s">
        <v>409</v>
      </c>
      <c r="C106" s="15" t="s">
        <v>410</v>
      </c>
      <c r="D106" s="16" t="s">
        <v>10</v>
      </c>
      <c r="E106" s="17">
        <v>1</v>
      </c>
      <c r="F106" s="18">
        <v>69676.53</v>
      </c>
      <c r="G106" s="19">
        <f t="shared" si="3"/>
        <v>69676.53</v>
      </c>
      <c r="J106" s="20"/>
      <c r="K106" s="20"/>
      <c r="L106" s="21"/>
      <c r="M106" s="22"/>
      <c r="N106" s="22"/>
    </row>
    <row r="107" spans="1:14" ht="23.25" customHeight="1">
      <c r="A107" s="15">
        <v>101</v>
      </c>
      <c r="B107" s="15" t="s">
        <v>411</v>
      </c>
      <c r="C107" s="15" t="s">
        <v>412</v>
      </c>
      <c r="D107" s="16" t="s">
        <v>10</v>
      </c>
      <c r="E107" s="17">
        <v>1</v>
      </c>
      <c r="F107" s="18">
        <v>573.57999999999993</v>
      </c>
      <c r="G107" s="19">
        <f t="shared" si="3"/>
        <v>573.57999999999993</v>
      </c>
      <c r="J107" s="20"/>
      <c r="K107" s="20"/>
      <c r="L107" s="21"/>
      <c r="M107" s="22"/>
      <c r="N107" s="22"/>
    </row>
    <row r="108" spans="1:14" ht="23.25" customHeight="1">
      <c r="A108" s="15">
        <v>102</v>
      </c>
      <c r="B108" s="15" t="s">
        <v>411</v>
      </c>
      <c r="C108" s="15" t="s">
        <v>413</v>
      </c>
      <c r="D108" s="16" t="s">
        <v>10</v>
      </c>
      <c r="E108" s="17">
        <v>1</v>
      </c>
      <c r="F108" s="18">
        <v>1001.9799999999999</v>
      </c>
      <c r="G108" s="19">
        <f t="shared" si="3"/>
        <v>1001.9799999999999</v>
      </c>
      <c r="J108" s="20"/>
      <c r="K108" s="20"/>
      <c r="L108" s="21"/>
      <c r="M108" s="22"/>
      <c r="N108" s="22"/>
    </row>
    <row r="109" spans="1:14" ht="23.25" customHeight="1">
      <c r="A109" s="15">
        <v>103</v>
      </c>
      <c r="B109" s="15" t="s">
        <v>411</v>
      </c>
      <c r="C109" s="15" t="s">
        <v>414</v>
      </c>
      <c r="D109" s="16" t="s">
        <v>10</v>
      </c>
      <c r="E109" s="17">
        <v>1</v>
      </c>
      <c r="F109" s="18">
        <v>1305.22</v>
      </c>
      <c r="G109" s="19">
        <f t="shared" si="3"/>
        <v>1305.22</v>
      </c>
      <c r="J109" s="20"/>
      <c r="K109" s="20"/>
      <c r="L109" s="21"/>
      <c r="M109" s="22"/>
      <c r="N109" s="22"/>
    </row>
    <row r="110" spans="1:14" ht="23.25" customHeight="1">
      <c r="A110" s="15">
        <v>104</v>
      </c>
      <c r="B110" s="15" t="s">
        <v>415</v>
      </c>
      <c r="C110" s="15" t="s">
        <v>416</v>
      </c>
      <c r="D110" s="16" t="s">
        <v>10</v>
      </c>
      <c r="E110" s="17">
        <v>2</v>
      </c>
      <c r="F110" s="18">
        <v>1690.78</v>
      </c>
      <c r="G110" s="19">
        <f t="shared" si="3"/>
        <v>3381.56</v>
      </c>
      <c r="J110" s="20"/>
      <c r="K110" s="20"/>
      <c r="L110" s="21"/>
      <c r="M110" s="22"/>
      <c r="N110" s="22"/>
    </row>
    <row r="111" spans="1:14" ht="23.25" customHeight="1">
      <c r="A111" s="25">
        <v>105</v>
      </c>
      <c r="B111" s="25" t="s">
        <v>417</v>
      </c>
      <c r="C111" s="25" t="s">
        <v>418</v>
      </c>
      <c r="D111" s="27" t="s">
        <v>10</v>
      </c>
      <c r="E111" s="28">
        <v>1</v>
      </c>
      <c r="F111" s="29">
        <v>111885.62</v>
      </c>
      <c r="G111" s="30">
        <f t="shared" si="3"/>
        <v>111885.62</v>
      </c>
      <c r="H111" s="3"/>
      <c r="I111" s="3"/>
      <c r="J111" s="31"/>
      <c r="K111" s="31"/>
      <c r="L111" s="22"/>
      <c r="M111" s="22"/>
      <c r="N111" s="22"/>
    </row>
    <row r="112" spans="1:14" ht="23.25" customHeight="1">
      <c r="A112" s="25">
        <v>106</v>
      </c>
      <c r="B112" s="25" t="s">
        <v>419</v>
      </c>
      <c r="C112" s="25" t="s">
        <v>420</v>
      </c>
      <c r="D112" s="27" t="s">
        <v>10</v>
      </c>
      <c r="E112" s="28">
        <v>2</v>
      </c>
      <c r="F112" s="29">
        <v>3685.99</v>
      </c>
      <c r="G112" s="30">
        <f t="shared" si="3"/>
        <v>7371.98</v>
      </c>
      <c r="H112" s="3"/>
      <c r="I112" s="3"/>
      <c r="J112" s="31"/>
      <c r="K112" s="31"/>
      <c r="L112" s="22"/>
      <c r="M112" s="22"/>
      <c r="N112" s="22"/>
    </row>
    <row r="113" spans="1:14" ht="23.25" customHeight="1">
      <c r="A113" s="25">
        <v>107</v>
      </c>
      <c r="B113" s="25" t="s">
        <v>421</v>
      </c>
      <c r="C113" s="25" t="s">
        <v>422</v>
      </c>
      <c r="D113" s="27" t="s">
        <v>10</v>
      </c>
      <c r="E113" s="28">
        <v>1</v>
      </c>
      <c r="F113" s="29">
        <v>20547.940000000002</v>
      </c>
      <c r="G113" s="30">
        <f t="shared" si="3"/>
        <v>20547.940000000002</v>
      </c>
      <c r="H113" s="3"/>
      <c r="I113" s="3"/>
      <c r="J113" s="31"/>
      <c r="K113" s="31"/>
      <c r="L113" s="22"/>
      <c r="M113" s="22"/>
      <c r="N113" s="22"/>
    </row>
    <row r="114" spans="1:14" ht="23.25" customHeight="1">
      <c r="A114" s="15">
        <v>108</v>
      </c>
      <c r="B114" s="15" t="s">
        <v>423</v>
      </c>
      <c r="C114" s="15" t="s">
        <v>424</v>
      </c>
      <c r="D114" s="16" t="s">
        <v>10</v>
      </c>
      <c r="E114" s="17">
        <v>1</v>
      </c>
      <c r="F114" s="18">
        <v>123074.21</v>
      </c>
      <c r="G114" s="19">
        <f t="shared" si="3"/>
        <v>123074.21</v>
      </c>
      <c r="J114" s="20"/>
      <c r="K114" s="20"/>
      <c r="L114" s="21"/>
      <c r="M114" s="22"/>
      <c r="N114" s="22"/>
    </row>
    <row r="115" spans="1:14" ht="23.25" customHeight="1">
      <c r="A115" s="15">
        <v>109</v>
      </c>
      <c r="B115" s="15" t="s">
        <v>425</v>
      </c>
      <c r="C115" s="15" t="s">
        <v>426</v>
      </c>
      <c r="D115" s="16" t="s">
        <v>10</v>
      </c>
      <c r="E115" s="17">
        <v>2</v>
      </c>
      <c r="F115" s="18">
        <v>3995.95</v>
      </c>
      <c r="G115" s="19">
        <f t="shared" si="3"/>
        <v>7991.9</v>
      </c>
      <c r="J115" s="20"/>
      <c r="K115" s="20"/>
      <c r="L115" s="21"/>
      <c r="M115" s="22"/>
      <c r="N115" s="22"/>
    </row>
    <row r="116" spans="1:14" ht="23.25" customHeight="1">
      <c r="A116" s="15">
        <v>110</v>
      </c>
      <c r="B116" s="15" t="s">
        <v>427</v>
      </c>
      <c r="C116" s="15" t="s">
        <v>428</v>
      </c>
      <c r="D116" s="16" t="s">
        <v>10</v>
      </c>
      <c r="E116" s="17">
        <v>2</v>
      </c>
      <c r="F116" s="18">
        <v>28825.65</v>
      </c>
      <c r="G116" s="19">
        <f t="shared" si="3"/>
        <v>57651.3</v>
      </c>
      <c r="J116" s="20"/>
      <c r="K116" s="20"/>
      <c r="L116" s="21"/>
      <c r="M116" s="22"/>
      <c r="N116" s="22"/>
    </row>
    <row r="117" spans="1:14" ht="23.25" customHeight="1">
      <c r="A117" s="15">
        <v>111</v>
      </c>
      <c r="B117" s="15" t="s">
        <v>429</v>
      </c>
      <c r="C117" s="26">
        <v>821300501</v>
      </c>
      <c r="D117" s="16" t="s">
        <v>10</v>
      </c>
      <c r="E117" s="17">
        <v>1</v>
      </c>
      <c r="F117" s="18">
        <v>9946.3000000000011</v>
      </c>
      <c r="G117" s="19">
        <f t="shared" si="3"/>
        <v>9946.3000000000011</v>
      </c>
      <c r="J117" s="20"/>
      <c r="K117" s="20"/>
      <c r="L117" s="21"/>
      <c r="M117" s="22"/>
      <c r="N117" s="22"/>
    </row>
    <row r="118" spans="1:14" s="2" customFormat="1" ht="23.25" customHeight="1">
      <c r="A118" s="15">
        <v>112</v>
      </c>
      <c r="B118" s="15" t="s">
        <v>430</v>
      </c>
      <c r="C118" s="15" t="s">
        <v>431</v>
      </c>
      <c r="D118" s="16" t="s">
        <v>10</v>
      </c>
      <c r="E118" s="17">
        <v>1</v>
      </c>
      <c r="F118" s="18">
        <v>2169.7199999999998</v>
      </c>
      <c r="G118" s="19">
        <f t="shared" si="3"/>
        <v>2169.7199999999998</v>
      </c>
      <c r="J118" s="23"/>
      <c r="K118" s="23"/>
      <c r="L118" s="24"/>
      <c r="M118" s="24"/>
      <c r="N118" s="24"/>
    </row>
    <row r="119" spans="1:14" s="2" customFormat="1" ht="23.25" customHeight="1">
      <c r="A119" s="15">
        <v>113</v>
      </c>
      <c r="B119" s="15" t="s">
        <v>188</v>
      </c>
      <c r="C119" s="15" t="s">
        <v>205</v>
      </c>
      <c r="D119" s="16" t="s">
        <v>10</v>
      </c>
      <c r="E119" s="17">
        <v>1</v>
      </c>
      <c r="F119" s="18">
        <v>1457.89</v>
      </c>
      <c r="G119" s="19">
        <f t="shared" si="3"/>
        <v>1457.89</v>
      </c>
      <c r="J119" s="23"/>
      <c r="K119" s="23"/>
      <c r="L119" s="24"/>
      <c r="M119" s="24"/>
      <c r="N119" s="24"/>
    </row>
    <row r="120" spans="1:14" s="2" customFormat="1" ht="23.25" customHeight="1">
      <c r="A120" s="15">
        <v>114</v>
      </c>
      <c r="B120" s="15" t="s">
        <v>371</v>
      </c>
      <c r="C120" s="15" t="s">
        <v>208</v>
      </c>
      <c r="D120" s="16" t="s">
        <v>10</v>
      </c>
      <c r="E120" s="17">
        <v>2</v>
      </c>
      <c r="F120" s="18">
        <v>19158.02</v>
      </c>
      <c r="G120" s="19">
        <f t="shared" si="3"/>
        <v>38316.04</v>
      </c>
      <c r="J120" s="23"/>
      <c r="K120" s="23"/>
      <c r="L120" s="24"/>
      <c r="M120" s="24"/>
      <c r="N120" s="24"/>
    </row>
    <row r="121" spans="1:14" ht="23.25" customHeight="1">
      <c r="A121" s="15">
        <v>115</v>
      </c>
      <c r="B121" s="15" t="s">
        <v>224</v>
      </c>
      <c r="C121" s="15" t="s">
        <v>432</v>
      </c>
      <c r="D121" s="16" t="s">
        <v>10</v>
      </c>
      <c r="E121" s="17">
        <v>1</v>
      </c>
      <c r="F121" s="18">
        <v>321.65000000000003</v>
      </c>
      <c r="G121" s="19">
        <f t="shared" si="3"/>
        <v>321.65000000000003</v>
      </c>
      <c r="J121" s="20"/>
      <c r="K121" s="20"/>
      <c r="L121" s="21"/>
      <c r="M121" s="22"/>
      <c r="N121" s="22"/>
    </row>
    <row r="122" spans="1:14" ht="23.25" customHeight="1">
      <c r="A122" s="152" t="s">
        <v>433</v>
      </c>
      <c r="B122" s="152"/>
      <c r="C122" s="152"/>
      <c r="D122" s="152"/>
      <c r="E122" s="32"/>
      <c r="F122" s="33"/>
      <c r="G122" s="34">
        <f>SUM(G7:G121)</f>
        <v>7111501.879999998</v>
      </c>
      <c r="L122" s="21"/>
      <c r="M122" s="22"/>
      <c r="N122" s="22"/>
    </row>
    <row r="123" spans="1:14" ht="23.25" customHeight="1">
      <c r="A123" s="35"/>
      <c r="B123" s="36"/>
      <c r="C123" s="36"/>
      <c r="D123" s="37"/>
      <c r="E123" s="37"/>
      <c r="F123" s="38"/>
      <c r="G123" s="39"/>
      <c r="L123" s="21"/>
      <c r="M123" s="22"/>
      <c r="N123" s="22"/>
    </row>
    <row r="124" spans="1:14" ht="23.25" customHeight="1">
      <c r="A124" s="40"/>
      <c r="B124" s="41" t="s">
        <v>434</v>
      </c>
      <c r="C124" s="42"/>
      <c r="D124" s="43"/>
      <c r="E124" s="43"/>
      <c r="F124" s="44"/>
      <c r="G124" s="146">
        <f>G122</f>
        <v>7111501.879999998</v>
      </c>
      <c r="H124" s="45"/>
      <c r="L124" s="21"/>
      <c r="M124" s="22"/>
      <c r="N124" s="22"/>
    </row>
    <row r="125" spans="1:14" ht="23.25" customHeight="1">
      <c r="A125" s="46"/>
      <c r="B125" s="47" t="s">
        <v>435</v>
      </c>
      <c r="C125" s="48"/>
      <c r="D125" s="49"/>
      <c r="E125" s="49"/>
      <c r="F125" s="50"/>
      <c r="G125" s="147"/>
      <c r="H125" s="45"/>
      <c r="L125" s="21"/>
      <c r="M125" s="22"/>
      <c r="N125" s="22"/>
    </row>
    <row r="126" spans="1:14" ht="23.25" customHeight="1">
      <c r="A126" s="51"/>
      <c r="B126" s="52"/>
      <c r="C126" s="53"/>
      <c r="D126" s="54"/>
      <c r="E126" s="54"/>
      <c r="F126" s="55"/>
      <c r="G126" s="56"/>
      <c r="H126" s="45"/>
      <c r="L126" s="21"/>
      <c r="M126" s="22"/>
      <c r="N126" s="22"/>
    </row>
    <row r="127" spans="1:14" ht="23.25" customHeight="1">
      <c r="A127" s="51"/>
      <c r="B127" s="52"/>
      <c r="C127" s="53"/>
      <c r="D127" s="54"/>
      <c r="E127" s="54"/>
      <c r="F127" s="55"/>
      <c r="G127" s="56"/>
      <c r="H127" s="45"/>
      <c r="L127" s="21"/>
      <c r="M127" s="22"/>
      <c r="N127" s="22"/>
    </row>
    <row r="128" spans="1:14" ht="23.25" customHeight="1">
      <c r="A128" s="51"/>
      <c r="B128" s="52"/>
      <c r="C128" s="57"/>
      <c r="D128" s="54"/>
      <c r="E128" s="54"/>
      <c r="F128" s="55"/>
      <c r="G128" s="58"/>
    </row>
    <row r="129" spans="1:7" ht="23.25" customHeight="1">
      <c r="A129" s="59"/>
      <c r="B129" s="60"/>
      <c r="C129" s="59"/>
      <c r="F129" s="44"/>
      <c r="G129" s="61"/>
    </row>
    <row r="130" spans="1:7" ht="23.25" customHeight="1">
      <c r="A130" s="59"/>
      <c r="B130" s="60"/>
      <c r="C130" s="59"/>
      <c r="F130" s="62"/>
      <c r="G130" s="61"/>
    </row>
    <row r="131" spans="1:7" ht="23.25" customHeight="1">
      <c r="B131" s="63"/>
      <c r="C131" s="7"/>
      <c r="F131" s="4"/>
    </row>
    <row r="132" spans="1:7" ht="23.25" customHeight="1">
      <c r="B132" s="63"/>
      <c r="C132" s="7"/>
      <c r="F132" s="4"/>
    </row>
    <row r="133" spans="1:7" ht="23.25" customHeight="1">
      <c r="B133" s="64"/>
      <c r="C133" s="65"/>
      <c r="F133" s="4"/>
    </row>
  </sheetData>
  <mergeCells count="11">
    <mergeCell ref="E4:E5"/>
    <mergeCell ref="F4:F5"/>
    <mergeCell ref="G4:G5"/>
    <mergeCell ref="G124:G125"/>
    <mergeCell ref="A2:G2"/>
    <mergeCell ref="A3:G3"/>
    <mergeCell ref="A122:D122"/>
    <mergeCell ref="A4:A5"/>
    <mergeCell ref="B4:B5"/>
    <mergeCell ref="C4:C5"/>
    <mergeCell ref="D4:D5"/>
  </mergeCells>
  <phoneticPr fontId="25" type="noConversion"/>
  <pageMargins left="0.7" right="0.7" top="0.75" bottom="0.75" header="0.3" footer="0.3"/>
  <pageSetup paperSize="9" scale="66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7768E9CD8D8094D92B8B275A73EE3DA" ma:contentTypeVersion="0" ma:contentTypeDescription="新建文档。" ma:contentTypeScope="" ma:versionID="4784d3fd9d63c99de01ed92c02c2aa2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512C49-F781-463D-91DB-883E86B7F4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519A93-D122-411F-87B1-B8F2A66FCC88}">
  <ds:schemaRefs/>
</ds:datastoreItem>
</file>

<file path=customXml/itemProps3.xml><?xml version="1.0" encoding="utf-8"?>
<ds:datastoreItem xmlns:ds="http://schemas.openxmlformats.org/officeDocument/2006/customXml" ds:itemID="{C934433D-85EB-463B-AD15-FB9054F92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зип</vt:lpstr>
      <vt:lpstr>发票</vt:lpstr>
      <vt:lpstr>зип!Область_печати</vt:lpstr>
    </vt:vector>
  </TitlesOfParts>
  <Company>Московский офис ОАО "ГМК "Норильский Никель"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_user_</dc:creator>
  <cp:lastModifiedBy>Никифоров Константин Викторович</cp:lastModifiedBy>
  <cp:lastPrinted>2026-07-29T15:10:58Z</cp:lastPrinted>
  <dcterms:created xsi:type="dcterms:W3CDTF">2002-07-30T13:45:21Z</dcterms:created>
  <dcterms:modified xsi:type="dcterms:W3CDTF">2026-09-11T04:44:30Z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E2DC57F60A734F11839B95C80FDF3809_12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r8>0</vt:r8>
  </property>
</Properties>
</file>